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CB7C7354-D750-47B2-8F99-BCDEB5E4A496}" xr6:coauthVersionLast="47" xr6:coauthVersionMax="47" xr10:uidLastSave="{00000000-0000-0000-0000-000000000000}"/>
  <bookViews>
    <workbookView xWindow="-108" yWindow="-108" windowWidth="23256" windowHeight="12456" activeTab="1" xr2:uid="{45387CAC-0224-4153-932E-FDCE80578298}"/>
  </bookViews>
  <sheets>
    <sheet name="Pivot Report" sheetId="1" r:id="rId1"/>
    <sheet name="Dashboard" sheetId="2" r:id="rId2"/>
    <sheet name="Sheet1" sheetId="3" r:id="rId3"/>
    <sheet name="Sheet2" sheetId="4" r:id="rId4"/>
    <sheet name="Sheet3"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210bb95-948e-4c49-897f-4ddd92db6ae8" name="Hospital Emergency Room Data" connection="Query - Hospital Emergency Room Data"/>
          <x15:modelTable id="Calender_Table_3137b1c0-6800-49a3-abdc-f961adaf6fe7"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B24" i="1"/>
  <c r="C24" i="1"/>
  <c r="A25" i="1"/>
  <c r="B25" i="1"/>
  <c r="C25" i="1"/>
  <c r="A28" i="1"/>
  <c r="B28" i="1"/>
  <c r="C28" i="1"/>
  <c r="A29" i="1"/>
  <c r="B29" i="1"/>
  <c r="C2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4A2C43-F302-4693-B616-EB6088965CEB}" name="Query - Calender_Table" description="Connection to the 'Calender_Table' query in the workbook." type="100" refreshedVersion="8" minRefreshableVersion="5">
    <extLst>
      <ext xmlns:x15="http://schemas.microsoft.com/office/spreadsheetml/2010/11/main" uri="{DE250136-89BD-433C-8126-D09CA5730AF9}">
        <x15:connection id="37e96135-0bd1-406b-a2a1-67cf22770409"/>
      </ext>
    </extLst>
  </connection>
  <connection id="2" xr16:uid="{1D3346A1-A3EE-415B-A5A5-2932EFECA60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4c73840-9b23-4805-92c5-8b3744f1d1a1"/>
      </ext>
    </extLst>
  </connection>
  <connection id="3" xr16:uid="{C2BE9F15-5610-444E-AD2A-24EF045DBA3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<sst xmlns="http://schemas.openxmlformats.org/spreadsheetml/2006/main" count="155" uniqueCount="73">
  <si>
    <t>Distinct Count of Patient Id</t>
  </si>
  <si>
    <t>No. of Patient</t>
  </si>
  <si>
    <t>Average of Patient Waittime</t>
  </si>
  <si>
    <t>Average of Patient Satisfaction Score</t>
  </si>
  <si>
    <t>Row Labels</t>
  </si>
  <si>
    <t>Grand Total</t>
  </si>
  <si>
    <t>Showing daily Visit trend of No of Patient</t>
  </si>
  <si>
    <t>Daily trend No of patient</t>
  </si>
  <si>
    <t>Average wait time</t>
  </si>
  <si>
    <t xml:space="preserve">Use an Area Chart to hight Daily trend of wait time </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</si>
  <si>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</si>
  <si>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</si>
  <si>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</si>
  <si>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</si>
  <si>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</si>
  <si>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</si>
  <si>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</si>
  <si>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</si>
  <si>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</si>
  <si>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</si>
  <si>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</si>
  <si>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</si>
  <si>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</si>
  <si>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</si>
  <si>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</si>
  <si>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</si>
  <si>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</si>
  <si>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</si>
  <si>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</si>
  <si>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</si>
  <si>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</si>
  <si>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</si>
  <si>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</si>
  <si>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</si>
  <si>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</si>
  <si>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</si>
  <si>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</si>
  <si>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</si>
  <si>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</si>
  <si>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</si>
  <si>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Use an area to highlight Patient Satisfaction Score</t>
  </si>
  <si>
    <t>Admitted</t>
  </si>
  <si>
    <t>Not Admitted</t>
  </si>
  <si>
    <t>Count of Patient Admission Flag</t>
  </si>
  <si>
    <t>Count of Patient Admission Flag2</t>
  </si>
  <si>
    <t>Admission Status</t>
  </si>
  <si>
    <t>No of Patient</t>
  </si>
  <si>
    <t>% Status</t>
  </si>
  <si>
    <t>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</si>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</sst>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0"/>
    <numFmt numFmtId="165" formatCode="0.0"/>
  </numFmts>
  <fonts count="5" x14ac:knownFonts="1">
    <font>
      <sz val="11"/>
      <color theme="1"/>
      <name val="Aptos Narrow"/>
      <family val="2"/>
      <scheme val="minor"/>
    </font>
    <font>
      <b/>
      <sz val="11"/>
      <color theme="1"/>
      <name val="Aptos Narrow"/>
      <family val="2"/>
      <scheme val="minor"/>
    </font>
    <font>
      <b/>
      <sz val="11"/>
      <color theme="0"/>
      <name val="Aptos Narrow"/>
      <family val="2"/>
      <scheme val="minor"/>
    </font>
    <font>
      <b/>
      <sz val="12"/>
      <color theme="1"/>
      <name val="Aptos Narrow"/>
      <family val="2"/>
      <scheme val="minor"/>
    </font>
    <font>
      <b/>
      <sz val="10"/>
      <color theme="1"/>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2" tint="-0.249977111117893"/>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65" fontId="0" fillId="0" borderId="0" xfId="0" applyNumberFormat="1"/>
    <xf numFmtId="10" fontId="0" fillId="0" borderId="0" xfId="0" applyNumberFormat="1"/>
    <xf numFmtId="9" fontId="0" fillId="0" borderId="0" xfId="0" applyNumberFormat="1"/>
    <xf numFmtId="0" fontId="1" fillId="4" borderId="0" xfId="0" applyFont="1" applyFill="1"/>
    <xf numFmtId="0" fontId="2" fillId="4" borderId="0" xfId="0" applyFont="1" applyFill="1"/>
    <xf numFmtId="1" fontId="0" fillId="0" borderId="0" xfId="0" applyNumberFormat="1"/>
    <xf numFmtId="0" fontId="1" fillId="3" borderId="0" xfId="0" applyFon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cellXfs>
  <cellStyles count="1">
    <cellStyle name="Normal" xfId="0" builtinId="0"/>
  </cellStyles>
  <dxfs count="17">
    <dxf>
      <numFmt numFmtId="2" formatCode="0.00"/>
    </dxf>
    <dxf>
      <numFmt numFmtId="2" formatCode="0.00"/>
    </dxf>
    <dxf>
      <numFmt numFmtId="14" formatCode="0.00%"/>
    </dxf>
    <dxf>
      <numFmt numFmtId="2" formatCode="0.00"/>
    </dxf>
    <dxf>
      <numFmt numFmtId="165" formatCode="0.0"/>
    </dxf>
    <dxf>
      <numFmt numFmtId="164" formatCode="0.000000000"/>
    </dxf>
    <dxf>
      <numFmt numFmtId="2" formatCode="0.00"/>
    </dxf>
    <dxf>
      <numFmt numFmtId="2" formatCode="0.00"/>
    </dxf>
    <dxf>
      <numFmt numFmtId="164" formatCode="0.000000000"/>
    </dxf>
    <dxf>
      <numFmt numFmtId="1" formatCode="0"/>
    </dxf>
    <dxf>
      <numFmt numFmtId="2" formatCode="0.00"/>
    </dxf>
    <dxf>
      <numFmt numFmtId="2" formatCode="0.00"/>
    </dxf>
    <dxf>
      <numFmt numFmtId="2" formatCode="0.00"/>
    </dxf>
    <dxf>
      <numFmt numFmtId="1" formatCode="0"/>
    </dxf>
    <dxf>
      <numFmt numFmtId="2" formatCode="0.00"/>
    </dxf>
    <dxf>
      <font>
        <b/>
        <color theme="1"/>
      </font>
      <border>
        <bottom style="thin">
          <color theme="4"/>
        </bottom>
        <vertical/>
        <horizontal/>
      </border>
    </dxf>
    <dxf>
      <font>
        <color theme="1"/>
      </font>
      <border>
        <vertical/>
        <horizontal/>
      </border>
    </dxf>
  </dxfs>
  <tableStyles count="1" defaultTableStyle="TableStyleMedium2" defaultPivotStyle="PivotStyleLight16">
    <tableStyle name="My Style" pivot="0" table="0" count="10" xr9:uid="{3B8A1AA5-F040-482A-AE5D-5ECC41AE13C7}">
      <tableStyleElement type="wholeTable" dxfId="16"/>
      <tableStyleElement type="headerRow" dxfId="15"/>
    </tableStyle>
  </tableStyles>
  <colors>
    <mruColors>
      <color rgb="FF15608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bgColor rgb="FF15608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Report!PivotTable7</c:name>
    <c:fmtId val="2"/>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44508670520231E-2"/>
              <c:y val="-1.0185067526415994E-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5B76B57-591E-4AB2-8383-1FB160B7ED6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35237358335989"/>
                  <c:h val="0.34797550306211722"/>
                </c:manualLayout>
              </c15:layout>
              <c15:dlblFieldTable/>
              <c15:showDataLabelsRange val="1"/>
            </c:ext>
          </c:extLst>
        </c:dLbl>
      </c:pivotFmt>
      <c:pivotFmt>
        <c:idx val="4"/>
        <c:spPr>
          <a:solidFill>
            <a:schemeClr val="accent2">
              <a:lumMod val="75000"/>
            </a:schemeClr>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AAD23E1-C45F-40EB-851B-9D81C41DFF3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4749594162001424"/>
                  <c:h val="0.47226466094723235"/>
                </c:manualLayout>
              </c15:layout>
              <c15:dlblFieldTable/>
              <c15:showDataLabelsRange val="1"/>
            </c:ext>
          </c:extLst>
        </c:dLbl>
      </c:pivotFmt>
    </c:pivotFmts>
    <c:plotArea>
      <c:layout>
        <c:manualLayout>
          <c:layoutTarget val="inner"/>
          <c:xMode val="edge"/>
          <c:yMode val="edge"/>
          <c:x val="3.8535645472061654E-2"/>
          <c:y val="1.2252272813724369E-2"/>
          <c:w val="0.95183044315992293"/>
          <c:h val="0.98774677621819007"/>
        </c:manualLayout>
      </c:layout>
      <c:barChart>
        <c:barDir val="bar"/>
        <c:grouping val="clustered"/>
        <c:varyColors val="0"/>
        <c:ser>
          <c:idx val="0"/>
          <c:order val="0"/>
          <c:tx>
            <c:strRef>
              <c:f>'Pivot Report'!$C$17:$C$18</c:f>
              <c:strCache>
                <c:ptCount val="1"/>
                <c:pt idx="0">
                  <c:v>Count of Patient Admission Flag</c:v>
                </c:pt>
              </c:strCache>
            </c:strRef>
          </c:tx>
          <c:spPr>
            <a:solidFill>
              <a:schemeClr val="accent2">
                <a:lumMod val="75000"/>
              </a:schemeClr>
            </a:solidFill>
            <a:ln>
              <a:noFill/>
            </a:ln>
            <a:effectLst/>
          </c:spPr>
          <c:invertIfNegative val="0"/>
          <c:dPt>
            <c:idx val="0"/>
            <c:invertIfNegative val="0"/>
            <c:bubble3D val="0"/>
            <c:extLst>
              <c:ext xmlns:c16="http://schemas.microsoft.com/office/drawing/2014/chart" uri="{C3380CC4-5D6E-409C-BE32-E72D297353CC}">
                <c16:uniqueId val="{00000000-70B3-458D-A0E1-97B5C8270210}"/>
              </c:ext>
            </c:extLst>
          </c:dPt>
          <c:dPt>
            <c:idx val="1"/>
            <c:invertIfNegative val="0"/>
            <c:bubble3D val="0"/>
            <c:extLst>
              <c:ext xmlns:c16="http://schemas.microsoft.com/office/drawing/2014/chart" uri="{C3380CC4-5D6E-409C-BE32-E72D297353CC}">
                <c16:uniqueId val="{00000001-70B3-458D-A0E1-97B5C8270210}"/>
              </c:ext>
            </c:extLst>
          </c:dPt>
          <c:dLbls>
            <c:dLbl>
              <c:idx val="0"/>
              <c:layout>
                <c:manualLayout>
                  <c:x val="-1.44508670520231E-2"/>
                  <c:y val="-1.0185067526415994E-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5B76B57-591E-4AB2-8383-1FB160B7ED6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35237358335989"/>
                      <c:h val="0.34797550306211722"/>
                    </c:manualLayout>
                  </c15:layout>
                  <c15:dlblFieldTable/>
                  <c15:showDataLabelsRange val="1"/>
                </c:ext>
                <c:ext xmlns:c16="http://schemas.microsoft.com/office/drawing/2014/chart" uri="{C3380CC4-5D6E-409C-BE32-E72D297353CC}">
                  <c16:uniqueId val="{00000000-70B3-458D-A0E1-97B5C8270210}"/>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2AAD23E1-C45F-40EB-851B-9D81C41DFF3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4749594162001424"/>
                      <c:h val="0.47226466094723235"/>
                    </c:manualLayout>
                  </c15:layout>
                  <c15:dlblFieldTable/>
                  <c15:showDataLabelsRange val="1"/>
                </c:ext>
                <c:ext xmlns:c16="http://schemas.microsoft.com/office/drawing/2014/chart" uri="{C3380CC4-5D6E-409C-BE32-E72D297353CC}">
                  <c16:uniqueId val="{00000001-70B3-458D-A0E1-97B5C82702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Report'!$C$17:$C$18</c:f>
              <c:strCache>
                <c:ptCount val="2"/>
                <c:pt idx="0">
                  <c:v>Admitted</c:v>
                </c:pt>
                <c:pt idx="1">
                  <c:v>Not Admitted</c:v>
                </c:pt>
              </c:strCache>
            </c:strRef>
          </c:cat>
          <c:val>
            <c:numRef>
              <c:f>'Pivot Report'!$C$17:$C$18</c:f>
              <c:numCache>
                <c:formatCode>0.00</c:formatCode>
                <c:ptCount val="2"/>
                <c:pt idx="0">
                  <c:v>237</c:v>
                </c:pt>
                <c:pt idx="1">
                  <c:v>242</c:v>
                </c:pt>
              </c:numCache>
            </c:numRef>
          </c:val>
          <c:extLst>
            <c:ext xmlns:c15="http://schemas.microsoft.com/office/drawing/2012/chart" uri="{02D57815-91ED-43cb-92C2-25804820EDAC}">
              <c15:datalabelsRange>
                <c15:f>'Pivot Report'!$C$17:$C$18</c15:f>
                <c15:dlblRangeCache>
                  <c:ptCount val="2"/>
                  <c:pt idx="0">
                    <c:v>49.48%</c:v>
                  </c:pt>
                  <c:pt idx="1">
                    <c:v>50.52%</c:v>
                  </c:pt>
                </c15:dlblRangeCache>
              </c15:datalabelsRange>
            </c:ext>
            <c:ext xmlns:c16="http://schemas.microsoft.com/office/drawing/2014/chart" uri="{C3380CC4-5D6E-409C-BE32-E72D297353CC}">
              <c16:uniqueId val="{00000004-C141-43F5-B967-DF1ECD9C2B1A}"/>
            </c:ext>
          </c:extLst>
        </c:ser>
        <c:ser>
          <c:idx val="1"/>
          <c:order val="1"/>
          <c:tx>
            <c:strRef>
              <c:f>'Pivot Report'!$C$17:$C$18</c:f>
              <c:strCache>
                <c:ptCount val="1"/>
                <c:pt idx="0">
                  <c:v>Count of Patient Admission Flag2</c:v>
                </c:pt>
              </c:strCache>
            </c:strRef>
          </c:tx>
          <c:spPr>
            <a:solidFill>
              <a:schemeClr val="accent2"/>
            </a:solidFill>
            <a:ln>
              <a:noFill/>
            </a:ln>
            <a:effectLst/>
          </c:spPr>
          <c:invertIfNegative val="0"/>
          <c:cat>
            <c:strRef>
              <c:f>'Pivot Report'!$C$17:$C$18</c:f>
              <c:strCache>
                <c:ptCount val="2"/>
                <c:pt idx="0">
                  <c:v>Admitted</c:v>
                </c:pt>
                <c:pt idx="1">
                  <c:v>Not Admitted</c:v>
                </c:pt>
              </c:strCache>
            </c:strRef>
          </c:cat>
          <c:val>
            <c:numRef>
              <c:f>'Pivot Report'!$C$17:$C$18</c:f>
              <c:numCache>
                <c:formatCode>0.00%</c:formatCode>
                <c:ptCount val="2"/>
                <c:pt idx="0">
                  <c:v>0.49478079331941544</c:v>
                </c:pt>
                <c:pt idx="1">
                  <c:v>0.50521920668058451</c:v>
                </c:pt>
              </c:numCache>
            </c:numRef>
          </c:val>
          <c:extLst>
            <c:ext xmlns:c16="http://schemas.microsoft.com/office/drawing/2014/chart" uri="{C3380CC4-5D6E-409C-BE32-E72D297353CC}">
              <c16:uniqueId val="{00000005-C141-43F5-B967-DF1ECD9C2B1A}"/>
            </c:ext>
          </c:extLst>
        </c:ser>
        <c:dLbls>
          <c:showLegendKey val="0"/>
          <c:showVal val="0"/>
          <c:showCatName val="0"/>
          <c:showSerName val="0"/>
          <c:showPercent val="0"/>
          <c:showBubbleSize val="0"/>
        </c:dLbls>
        <c:gapWidth val="62"/>
        <c:axId val="2048543183"/>
        <c:axId val="2048546543"/>
      </c:barChart>
      <c:catAx>
        <c:axId val="2048543183"/>
        <c:scaling>
          <c:orientation val="minMax"/>
        </c:scaling>
        <c:delete val="1"/>
        <c:axPos val="l"/>
        <c:numFmt formatCode="General" sourceLinked="1"/>
        <c:majorTickMark val="none"/>
        <c:minorTickMark val="none"/>
        <c:tickLblPos val="nextTo"/>
        <c:crossAx val="2048546543"/>
        <c:crosses val="autoZero"/>
        <c:auto val="1"/>
        <c:lblAlgn val="ctr"/>
        <c:lblOffset val="100"/>
        <c:noMultiLvlLbl val="0"/>
      </c:catAx>
      <c:valAx>
        <c:axId val="2048546543"/>
        <c:scaling>
          <c:orientation val="minMax"/>
        </c:scaling>
        <c:delete val="1"/>
        <c:axPos val="b"/>
        <c:numFmt formatCode="0.00" sourceLinked="1"/>
        <c:majorTickMark val="none"/>
        <c:minorTickMark val="none"/>
        <c:tickLblPos val="nextTo"/>
        <c:crossAx val="20485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Report!PivotTable7</c:name>
    <c:fmtId val="6"/>
  </c:pivotSource>
  <c:chart>
    <c:autoTitleDeleted val="1"/>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44508670520231E-2"/>
              <c:y val="-1.0185067526415994E-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19B8CDA-9DC9-465D-B380-51DFCE32DA6A}" type="CELLRANGE">
                  <a:rPr lang="en-US" sz="900"/>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35237358335989"/>
                  <c:h val="0.34797550306211722"/>
                </c:manualLayout>
              </c15:layout>
              <c15:dlblFieldTable/>
              <c15:showDataLabelsRange val="1"/>
            </c:ext>
          </c:extLst>
        </c:dLbl>
      </c:pivotFmt>
      <c:pivotFmt>
        <c:idx val="4"/>
        <c:spPr>
          <a:solidFill>
            <a:schemeClr val="accent2">
              <a:lumMod val="75000"/>
            </a:schemeClr>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AF2634D-D92B-444A-8E7C-DC91997AFA3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4749594162001424"/>
                  <c:h val="0.47226466094723235"/>
                </c:manualLayout>
              </c15:layout>
              <c15:dlblFieldTable/>
              <c15:showDataLabelsRange val="1"/>
            </c:ext>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2">
              <a:lumMod val="75000"/>
            </a:schemeClr>
          </a:solidFill>
          <a:ln>
            <a:noFill/>
          </a:ln>
          <a:effectLst/>
        </c:spPr>
        <c:dLbl>
          <c:idx val="0"/>
          <c:layout>
            <c:manualLayout>
              <c:x val="-1.44508670520231E-2"/>
              <c:y val="-1.0185067526415994E-1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19B8CDA-9DC9-465D-B380-51DFCE32DA6A}" type="CELLRANGE">
                  <a:rPr lang="en-US" sz="900"/>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35237358335989"/>
                  <c:h val="0.34797550306211722"/>
                </c:manualLayout>
              </c15:layout>
              <c15:dlblFieldTable/>
              <c15:showDataLabelsRange val="1"/>
            </c:ext>
          </c:extLst>
        </c:dLbl>
      </c:pivotFmt>
      <c:pivotFmt>
        <c:idx val="7"/>
        <c:spPr>
          <a:solidFill>
            <a:schemeClr val="accent2">
              <a:lumMod val="75000"/>
            </a:schemeClr>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AF2634D-D92B-444A-8E7C-DC91997AFA3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4749594162001424"/>
                  <c:h val="0.47226466094723235"/>
                </c:manualLayout>
              </c15:layout>
              <c15:dlblFieldTable/>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
        <c:spPr>
          <a:solidFill>
            <a:schemeClr val="accent2">
              <a:lumMod val="75000"/>
            </a:schemeClr>
          </a:solidFill>
          <a:ln>
            <a:noFill/>
          </a:ln>
          <a:effectLst/>
        </c:spPr>
        <c:dLbl>
          <c:idx val="0"/>
          <c:layout>
            <c:manualLayout>
              <c:x val="-1.44508670520231E-2"/>
              <c:y val="-1.0185067526415994E-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35237358335989"/>
                  <c:h val="0.34797550306211722"/>
                </c:manualLayout>
              </c15:layout>
              <c15:showDataLabelsRange val="1"/>
            </c:ext>
          </c:extLst>
        </c:dLbl>
      </c:pivotFmt>
      <c:pivotFmt>
        <c:idx val="1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4749594162001424"/>
                  <c:h val="0.47226466094723235"/>
                </c:manualLayout>
              </c15:layout>
              <c15:showDataLabelsRange val="1"/>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35645472061654E-2"/>
          <c:y val="1.2252272813724369E-2"/>
          <c:w val="0.95183044315992293"/>
          <c:h val="0.98774677621819007"/>
        </c:manualLayout>
      </c:layout>
      <c:barChart>
        <c:barDir val="bar"/>
        <c:grouping val="clustered"/>
        <c:varyColors val="0"/>
        <c:ser>
          <c:idx val="0"/>
          <c:order val="0"/>
          <c:tx>
            <c:strRef>
              <c:f>'Pivot Report'!$B$16</c:f>
              <c:strCache>
                <c:ptCount val="1"/>
                <c:pt idx="0">
                  <c:v>Count of Patient Admission Flag</c:v>
                </c:pt>
              </c:strCache>
            </c:strRef>
          </c:tx>
          <c:spPr>
            <a:solidFill>
              <a:schemeClr val="accent2">
                <a:lumMod val="75000"/>
              </a:schemeClr>
            </a:solidFill>
            <a:ln>
              <a:noFill/>
            </a:ln>
            <a:effectLst/>
          </c:spPr>
          <c:invertIfNegative val="0"/>
          <c:dPt>
            <c:idx val="0"/>
            <c:invertIfNegative val="0"/>
            <c:bubble3D val="0"/>
            <c:extLst>
              <c:ext xmlns:c16="http://schemas.microsoft.com/office/drawing/2014/chart" uri="{C3380CC4-5D6E-409C-BE32-E72D297353CC}">
                <c16:uniqueId val="{00000000-FF3D-4452-8DC4-BA42EED78B91}"/>
              </c:ext>
            </c:extLst>
          </c:dPt>
          <c:dPt>
            <c:idx val="1"/>
            <c:invertIfNegative val="0"/>
            <c:bubble3D val="0"/>
            <c:extLst>
              <c:ext xmlns:c16="http://schemas.microsoft.com/office/drawing/2014/chart" uri="{C3380CC4-5D6E-409C-BE32-E72D297353CC}">
                <c16:uniqueId val="{00000001-FF3D-4452-8DC4-BA42EED78B91}"/>
              </c:ext>
            </c:extLst>
          </c:dPt>
          <c:dLbls>
            <c:dLbl>
              <c:idx val="0"/>
              <c:layout>
                <c:manualLayout>
                  <c:x val="-1.44508670520231E-2"/>
                  <c:y val="-1.0185067526415994E-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335237358335989"/>
                      <c:h val="0.34797550306211722"/>
                    </c:manualLayout>
                  </c15:layout>
                  <c15:showDataLabelsRange val="1"/>
                </c:ext>
                <c:ext xmlns:c16="http://schemas.microsoft.com/office/drawing/2014/chart" uri="{C3380CC4-5D6E-409C-BE32-E72D297353CC}">
                  <c16:uniqueId val="{00000000-FF3D-4452-8DC4-BA42EED78B91}"/>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0.34749594162001424"/>
                      <c:h val="0.47226466094723235"/>
                    </c:manualLayout>
                  </c15:layout>
                  <c15:showDataLabelsRange val="1"/>
                </c:ext>
                <c:ext xmlns:c16="http://schemas.microsoft.com/office/drawing/2014/chart" uri="{C3380CC4-5D6E-409C-BE32-E72D297353CC}">
                  <c16:uniqueId val="{00000001-FF3D-4452-8DC4-BA42EED78B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Report'!$A$17:$A$19</c:f>
              <c:strCache>
                <c:ptCount val="2"/>
                <c:pt idx="0">
                  <c:v>Admitted</c:v>
                </c:pt>
                <c:pt idx="1">
                  <c:v>Not Admitted</c:v>
                </c:pt>
              </c:strCache>
            </c:strRef>
          </c:cat>
          <c:val>
            <c:numRef>
              <c:f>'Pivot Report'!$B$17:$B$19</c:f>
              <c:numCache>
                <c:formatCode>0.00</c:formatCode>
                <c:ptCount val="2"/>
                <c:pt idx="0">
                  <c:v>237</c:v>
                </c:pt>
                <c:pt idx="1">
                  <c:v>242</c:v>
                </c:pt>
              </c:numCache>
            </c:numRef>
          </c:val>
          <c:extLst>
            <c:ext xmlns:c16="http://schemas.microsoft.com/office/drawing/2014/chart" uri="{C3380CC4-5D6E-409C-BE32-E72D297353CC}">
              <c16:uniqueId val="{00000004-DB2F-4576-A9AA-21BC26E76C1B}"/>
            </c:ext>
          </c:extLst>
        </c:ser>
        <c:ser>
          <c:idx val="1"/>
          <c:order val="1"/>
          <c:tx>
            <c:strRef>
              <c:f>'Pivot Report'!$C$16</c:f>
              <c:strCache>
                <c:ptCount val="1"/>
                <c:pt idx="0">
                  <c:v>Count of Patient Admission Flag2</c:v>
                </c:pt>
              </c:strCache>
            </c:strRef>
          </c:tx>
          <c:spPr>
            <a:solidFill>
              <a:schemeClr val="accent2"/>
            </a:solidFill>
            <a:ln>
              <a:noFill/>
            </a:ln>
            <a:effectLst/>
          </c:spPr>
          <c:invertIfNegative val="0"/>
          <c:cat>
            <c:strRef>
              <c:f>'Pivot Report'!$A$17:$A$19</c:f>
              <c:strCache>
                <c:ptCount val="2"/>
                <c:pt idx="0">
                  <c:v>Admitted</c:v>
                </c:pt>
                <c:pt idx="1">
                  <c:v>Not Admitted</c:v>
                </c:pt>
              </c:strCache>
            </c:strRef>
          </c:cat>
          <c:val>
            <c:numRef>
              <c:f>'Pivot Report'!$C$17:$C$19</c:f>
              <c:numCache>
                <c:formatCode>0.00%</c:formatCode>
                <c:ptCount val="2"/>
                <c:pt idx="0">
                  <c:v>0.49478079331941544</c:v>
                </c:pt>
                <c:pt idx="1">
                  <c:v>0.50521920668058451</c:v>
                </c:pt>
              </c:numCache>
            </c:numRef>
          </c:val>
          <c:extLst>
            <c:ext xmlns:c16="http://schemas.microsoft.com/office/drawing/2014/chart" uri="{C3380CC4-5D6E-409C-BE32-E72D297353CC}">
              <c16:uniqueId val="{00000005-DB2F-4576-A9AA-21BC26E76C1B}"/>
            </c:ext>
          </c:extLst>
        </c:ser>
        <c:dLbls>
          <c:showLegendKey val="0"/>
          <c:showVal val="0"/>
          <c:showCatName val="0"/>
          <c:showSerName val="0"/>
          <c:showPercent val="0"/>
          <c:showBubbleSize val="0"/>
        </c:dLbls>
        <c:gapWidth val="62"/>
        <c:axId val="2048543183"/>
        <c:axId val="2048546543"/>
      </c:barChart>
      <c:catAx>
        <c:axId val="2048543183"/>
        <c:scaling>
          <c:orientation val="minMax"/>
        </c:scaling>
        <c:delete val="1"/>
        <c:axPos val="l"/>
        <c:numFmt formatCode="General" sourceLinked="1"/>
        <c:majorTickMark val="none"/>
        <c:minorTickMark val="none"/>
        <c:tickLblPos val="nextTo"/>
        <c:crossAx val="2048546543"/>
        <c:crosses val="autoZero"/>
        <c:auto val="1"/>
        <c:lblAlgn val="ctr"/>
        <c:lblOffset val="100"/>
        <c:noMultiLvlLbl val="0"/>
      </c:catAx>
      <c:valAx>
        <c:axId val="2048546543"/>
        <c:scaling>
          <c:orientation val="minMax"/>
        </c:scaling>
        <c:delete val="1"/>
        <c:axPos val="b"/>
        <c:numFmt formatCode="0.00" sourceLinked="1"/>
        <c:majorTickMark val="none"/>
        <c:minorTickMark val="none"/>
        <c:tickLblPos val="nextTo"/>
        <c:crossAx val="20485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6.9444444444444448E-2"/>
          <c:w val="1"/>
          <c:h val="0.93055555555555558"/>
        </c:manualLayout>
      </c:layout>
      <c:areaChart>
        <c:grouping val="standard"/>
        <c:varyColors val="0"/>
        <c:ser>
          <c:idx val="0"/>
          <c:order val="0"/>
          <c:tx>
            <c:strRef>
              <c:f>'Pivot Report'!$N$4</c:f>
              <c:strCache>
                <c:ptCount val="1"/>
                <c:pt idx="0">
                  <c:v>Total</c:v>
                </c:pt>
              </c:strCache>
            </c:strRef>
          </c:tx>
          <c:spPr>
            <a:solidFill>
              <a:schemeClr val="accent2">
                <a:lumMod val="75000"/>
              </a:schemeClr>
            </a:solidFill>
            <a:ln w="25400">
              <a:noFill/>
            </a:ln>
            <a:effectLst/>
          </c:spPr>
          <c:cat>
            <c:strRef>
              <c:f>'Pivot Report'!$M$5:$M$35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Report'!$N$5:$N$35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8E46-4DE6-8BB6-92AD80158EFC}"/>
            </c:ext>
          </c:extLst>
        </c:ser>
        <c:dLbls>
          <c:showLegendKey val="0"/>
          <c:showVal val="0"/>
          <c:showCatName val="0"/>
          <c:showSerName val="0"/>
          <c:showPercent val="0"/>
          <c:showBubbleSize val="0"/>
        </c:dLbls>
        <c:axId val="1318025503"/>
        <c:axId val="1318034623"/>
      </c:areaChart>
      <c:catAx>
        <c:axId val="1318025503"/>
        <c:scaling>
          <c:orientation val="minMax"/>
        </c:scaling>
        <c:delete val="1"/>
        <c:axPos val="b"/>
        <c:numFmt formatCode="General" sourceLinked="1"/>
        <c:majorTickMark val="out"/>
        <c:minorTickMark val="none"/>
        <c:tickLblPos val="nextTo"/>
        <c:crossAx val="1318034623"/>
        <c:crosses val="autoZero"/>
        <c:auto val="1"/>
        <c:lblAlgn val="ctr"/>
        <c:lblOffset val="100"/>
        <c:noMultiLvlLbl val="0"/>
      </c:catAx>
      <c:valAx>
        <c:axId val="1318034623"/>
        <c:scaling>
          <c:orientation val="minMax"/>
        </c:scaling>
        <c:delete val="1"/>
        <c:axPos val="l"/>
        <c:numFmt formatCode="General" sourceLinked="1"/>
        <c:majorTickMark val="none"/>
        <c:minorTickMark val="none"/>
        <c:tickLblPos val="nextTo"/>
        <c:crossAx val="131802550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786208542114053"/>
          <c:w val="1"/>
          <c:h val="0.80213791457885941"/>
        </c:manualLayout>
      </c:layout>
      <c:areaChart>
        <c:grouping val="standard"/>
        <c:varyColors val="0"/>
        <c:ser>
          <c:idx val="0"/>
          <c:order val="0"/>
          <c:tx>
            <c:strRef>
              <c:f>'Pivot Report'!$R$4</c:f>
              <c:strCache>
                <c:ptCount val="1"/>
                <c:pt idx="0">
                  <c:v>Total</c:v>
                </c:pt>
              </c:strCache>
            </c:strRef>
          </c:tx>
          <c:spPr>
            <a:solidFill>
              <a:schemeClr val="accent2">
                <a:lumMod val="75000"/>
              </a:schemeClr>
            </a:solidFill>
            <a:ln w="25400">
              <a:noFill/>
            </a:ln>
            <a:effectLst/>
          </c:spPr>
          <c:cat>
            <c:strRef>
              <c:f>'Pivot Report'!$Q$5:$Q$35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Report'!$R$5:$R$35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1BC3-42EC-9DA8-54A934B54FA4}"/>
            </c:ext>
          </c:extLst>
        </c:ser>
        <c:dLbls>
          <c:showLegendKey val="0"/>
          <c:showVal val="0"/>
          <c:showCatName val="0"/>
          <c:showSerName val="0"/>
          <c:showPercent val="0"/>
          <c:showBubbleSize val="0"/>
        </c:dLbls>
        <c:axId val="1974005535"/>
        <c:axId val="1973998335"/>
      </c:areaChart>
      <c:catAx>
        <c:axId val="1974005535"/>
        <c:scaling>
          <c:orientation val="minMax"/>
        </c:scaling>
        <c:delete val="1"/>
        <c:axPos val="b"/>
        <c:numFmt formatCode="General" sourceLinked="1"/>
        <c:majorTickMark val="out"/>
        <c:minorTickMark val="none"/>
        <c:tickLblPos val="nextTo"/>
        <c:crossAx val="1973998335"/>
        <c:crosses val="autoZero"/>
        <c:auto val="1"/>
        <c:lblAlgn val="ctr"/>
        <c:lblOffset val="100"/>
        <c:noMultiLvlLbl val="0"/>
      </c:catAx>
      <c:valAx>
        <c:axId val="1973998335"/>
        <c:scaling>
          <c:orientation val="minMax"/>
        </c:scaling>
        <c:delete val="1"/>
        <c:axPos val="l"/>
        <c:numFmt formatCode="0.00" sourceLinked="1"/>
        <c:majorTickMark val="none"/>
        <c:minorTickMark val="none"/>
        <c:tickLblPos val="nextTo"/>
        <c:crossAx val="1974005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1231422505307854E-2"/>
          <c:w val="1"/>
          <c:h val="0.97876896485500287"/>
        </c:manualLayout>
      </c:layout>
      <c:areaChart>
        <c:grouping val="standard"/>
        <c:varyColors val="0"/>
        <c:ser>
          <c:idx val="0"/>
          <c:order val="0"/>
          <c:tx>
            <c:strRef>
              <c:f>'Pivot Report'!$V$4</c:f>
              <c:strCache>
                <c:ptCount val="1"/>
                <c:pt idx="0">
                  <c:v>Total</c:v>
                </c:pt>
              </c:strCache>
            </c:strRef>
          </c:tx>
          <c:spPr>
            <a:solidFill>
              <a:schemeClr val="accent2">
                <a:lumMod val="75000"/>
              </a:schemeClr>
            </a:solidFill>
            <a:ln w="25400">
              <a:noFill/>
            </a:ln>
            <a:effectLst/>
          </c:spPr>
          <c:cat>
            <c:strRef>
              <c:f>'Pivot Report'!$U$5:$U$35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Report'!$V$5:$V$35</c:f>
              <c:numCache>
                <c:formatCode>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D959-4F7E-8F7A-EE987E589F57}"/>
            </c:ext>
          </c:extLst>
        </c:ser>
        <c:dLbls>
          <c:showLegendKey val="0"/>
          <c:showVal val="0"/>
          <c:showCatName val="0"/>
          <c:showSerName val="0"/>
          <c:showPercent val="0"/>
          <c:showBubbleSize val="0"/>
        </c:dLbls>
        <c:axId val="2044498143"/>
        <c:axId val="2044496223"/>
      </c:areaChart>
      <c:catAx>
        <c:axId val="2044498143"/>
        <c:scaling>
          <c:orientation val="minMax"/>
        </c:scaling>
        <c:delete val="1"/>
        <c:axPos val="b"/>
        <c:numFmt formatCode="General" sourceLinked="1"/>
        <c:majorTickMark val="out"/>
        <c:minorTickMark val="none"/>
        <c:tickLblPos val="nextTo"/>
        <c:crossAx val="2044496223"/>
        <c:crosses val="autoZero"/>
        <c:auto val="1"/>
        <c:lblAlgn val="ctr"/>
        <c:lblOffset val="100"/>
        <c:noMultiLvlLbl val="0"/>
      </c:catAx>
      <c:valAx>
        <c:axId val="2044496223"/>
        <c:scaling>
          <c:orientation val="minMax"/>
        </c:scaling>
        <c:delete val="1"/>
        <c:axPos val="l"/>
        <c:numFmt formatCode="0.0" sourceLinked="1"/>
        <c:majorTickMark val="none"/>
        <c:minorTickMark val="none"/>
        <c:tickLblPos val="nextTo"/>
        <c:crossAx val="2044498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854082998661312E-2"/>
          <c:w val="1"/>
          <c:h val="0.76599732262382869"/>
        </c:manualLayout>
      </c:layout>
      <c:barChart>
        <c:barDir val="col"/>
        <c:grouping val="clustered"/>
        <c:varyColors val="0"/>
        <c:ser>
          <c:idx val="0"/>
          <c:order val="0"/>
          <c:tx>
            <c:strRef>
              <c:f>'Pivot Report'!$B$30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Report'!$A$31:$A$39</c:f>
              <c:strCache>
                <c:ptCount val="8"/>
                <c:pt idx="0">
                  <c:v>0-9</c:v>
                </c:pt>
                <c:pt idx="1">
                  <c:v>10-19</c:v>
                </c:pt>
                <c:pt idx="2">
                  <c:v>20-29</c:v>
                </c:pt>
                <c:pt idx="3">
                  <c:v>30-39</c:v>
                </c:pt>
                <c:pt idx="4">
                  <c:v>40-49</c:v>
                </c:pt>
                <c:pt idx="5">
                  <c:v>50-59</c:v>
                </c:pt>
                <c:pt idx="6">
                  <c:v>60-69</c:v>
                </c:pt>
                <c:pt idx="7">
                  <c:v>70-79</c:v>
                </c:pt>
              </c:strCache>
            </c:strRef>
          </c:cat>
          <c:val>
            <c:numRef>
              <c:f>'Pivot Report'!$B$31:$B$39</c:f>
              <c:numCache>
                <c:formatCode>0</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3-DF96-4C90-98F7-8A3B7C0F194F}"/>
            </c:ext>
          </c:extLst>
        </c:ser>
        <c:dLbls>
          <c:showLegendKey val="0"/>
          <c:showVal val="0"/>
          <c:showCatName val="0"/>
          <c:showSerName val="0"/>
          <c:showPercent val="0"/>
          <c:showBubbleSize val="0"/>
        </c:dLbls>
        <c:gapWidth val="219"/>
        <c:overlap val="-27"/>
        <c:axId val="712383871"/>
        <c:axId val="712384351"/>
      </c:barChart>
      <c:catAx>
        <c:axId val="71238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84351"/>
        <c:crosses val="autoZero"/>
        <c:auto val="1"/>
        <c:lblAlgn val="ctr"/>
        <c:lblOffset val="100"/>
        <c:noMultiLvlLbl val="0"/>
      </c:catAx>
      <c:valAx>
        <c:axId val="712384351"/>
        <c:scaling>
          <c:orientation val="minMax"/>
        </c:scaling>
        <c:delete val="1"/>
        <c:axPos val="l"/>
        <c:numFmt formatCode="0" sourceLinked="1"/>
        <c:majorTickMark val="none"/>
        <c:minorTickMark val="none"/>
        <c:tickLblPos val="nextTo"/>
        <c:crossAx val="71238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5110490220980441"/>
              <c:y val="-0.133628608923884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dLbl>
          <c:idx val="0"/>
          <c:layout>
            <c:manualLayout>
              <c:x val="0.23094361188722373"/>
              <c:y val="0.116961942257217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623528913724494"/>
          <c:y val="0.11014435695538058"/>
          <c:w val="0.64370078740157477"/>
          <c:h val="0.79818897637795272"/>
        </c:manualLayout>
      </c:layout>
      <c:pieChart>
        <c:varyColors val="1"/>
        <c:ser>
          <c:idx val="0"/>
          <c:order val="0"/>
          <c:tx>
            <c:strRef>
              <c:f>'Pivot Report'!$B$43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B656-414A-AF04-C0C680EB1DD7}"/>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B656-414A-AF04-C0C680EB1DD7}"/>
              </c:ext>
            </c:extLst>
          </c:dPt>
          <c:dLbls>
            <c:dLbl>
              <c:idx val="0"/>
              <c:layout>
                <c:manualLayout>
                  <c:x val="-0.25110490220980441"/>
                  <c:y val="-0.1336286089238845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56-414A-AF04-C0C680EB1DD7}"/>
                </c:ext>
              </c:extLst>
            </c:dLbl>
            <c:dLbl>
              <c:idx val="1"/>
              <c:layout>
                <c:manualLayout>
                  <c:x val="0.23094361188722373"/>
                  <c:y val="0.1169619422572178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56-414A-AF04-C0C680EB1D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Report'!$A$44:$A$46</c:f>
              <c:strCache>
                <c:ptCount val="2"/>
                <c:pt idx="0">
                  <c:v>Delay</c:v>
                </c:pt>
                <c:pt idx="1">
                  <c:v>Ontime</c:v>
                </c:pt>
              </c:strCache>
            </c:strRef>
          </c:cat>
          <c:val>
            <c:numRef>
              <c:f>'Pivot Report'!$B$44:$B$46</c:f>
              <c:numCache>
                <c:formatCode>0.00</c:formatCode>
                <c:ptCount val="2"/>
                <c:pt idx="0">
                  <c:v>266</c:v>
                </c:pt>
                <c:pt idx="1">
                  <c:v>213</c:v>
                </c:pt>
              </c:numCache>
            </c:numRef>
          </c:val>
          <c:extLst>
            <c:ext xmlns:c16="http://schemas.microsoft.com/office/drawing/2014/chart" uri="{C3380CC4-5D6E-409C-BE32-E72D297353CC}">
              <c16:uniqueId val="{00000007-7E59-48FB-95EE-F24C351ADE1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7873901133537333E-2"/>
          <c:y val="2.1780654381553075E-3"/>
          <c:w val="0.78548444742279555"/>
          <c:h val="9.143627879848349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Report!PivotTable10</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lumMod val="75000"/>
            </a:schemeClr>
          </a:solidFill>
          <a:ln>
            <a:noFill/>
          </a:ln>
          <a:effectLst/>
        </c:spPr>
      </c:pivotFmt>
    </c:pivotFmts>
    <c:plotArea>
      <c:layout>
        <c:manualLayout>
          <c:layoutTarget val="inner"/>
          <c:xMode val="edge"/>
          <c:yMode val="edge"/>
          <c:x val="0.19722501647646468"/>
          <c:y val="0.17870377588939995"/>
          <c:w val="0.63005596216772464"/>
          <c:h val="0.70803318520828462"/>
        </c:manualLayout>
      </c:layout>
      <c:doughnutChart>
        <c:varyColors val="1"/>
        <c:ser>
          <c:idx val="0"/>
          <c:order val="0"/>
          <c:tx>
            <c:strRef>
              <c:f>'Pivot Report'!$B$50</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7E6-4AB5-AC4D-798AD6A3B34D}"/>
              </c:ext>
            </c:extLst>
          </c:dPt>
          <c:dPt>
            <c:idx val="1"/>
            <c:bubble3D val="0"/>
            <c:spPr>
              <a:solidFill>
                <a:schemeClr val="accent2">
                  <a:lumMod val="75000"/>
                </a:schemeClr>
              </a:solidFill>
              <a:ln>
                <a:noFill/>
              </a:ln>
              <a:effectLst/>
            </c:spPr>
            <c:extLst>
              <c:ext xmlns:c16="http://schemas.microsoft.com/office/drawing/2014/chart" uri="{C3380CC4-5D6E-409C-BE32-E72D297353CC}">
                <c16:uniqueId val="{00000003-D7E6-4AB5-AC4D-798AD6A3B34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Report'!$A$51:$A$53</c:f>
              <c:strCache>
                <c:ptCount val="2"/>
                <c:pt idx="0">
                  <c:v>Female</c:v>
                </c:pt>
                <c:pt idx="1">
                  <c:v>Male</c:v>
                </c:pt>
              </c:strCache>
            </c:strRef>
          </c:cat>
          <c:val>
            <c:numRef>
              <c:f>'Pivot Report'!$B$51:$B$53</c:f>
              <c:numCache>
                <c:formatCode>0.00</c:formatCode>
                <c:ptCount val="2"/>
                <c:pt idx="0">
                  <c:v>235</c:v>
                </c:pt>
                <c:pt idx="1">
                  <c:v>244</c:v>
                </c:pt>
              </c:numCache>
            </c:numRef>
          </c:val>
          <c:extLst>
            <c:ext xmlns:c16="http://schemas.microsoft.com/office/drawing/2014/chart" uri="{C3380CC4-5D6E-409C-BE32-E72D297353CC}">
              <c16:uniqueId val="{00000007-6D01-4CE8-91AB-C687010DA819}"/>
            </c:ext>
          </c:extLst>
        </c:ser>
        <c:dLbls>
          <c:showLegendKey val="0"/>
          <c:showVal val="0"/>
          <c:showCatName val="0"/>
          <c:showSerName val="0"/>
          <c:showPercent val="1"/>
          <c:showBubbleSize val="0"/>
          <c:showLeaderLines val="1"/>
        </c:dLbls>
        <c:firstSliceAng val="0"/>
        <c:holeSize val="48"/>
      </c:doughnutChart>
      <c:spPr>
        <a:noFill/>
        <a:ln>
          <a:noFill/>
        </a:ln>
        <a:effectLst/>
      </c:spPr>
    </c:plotArea>
    <c:legend>
      <c:legendPos val="r"/>
      <c:layout>
        <c:manualLayout>
          <c:xMode val="edge"/>
          <c:yMode val="edge"/>
          <c:x val="0.16406280712708268"/>
          <c:y val="1.346063626104708E-2"/>
          <c:w val="0.64252315376877445"/>
          <c:h val="0.129952444063303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26268591426073"/>
          <c:y val="9.2592592592592587E-3"/>
          <c:w val="0.78673731408573933"/>
          <c:h val="0.89621342108355861"/>
        </c:manualLayout>
      </c:layout>
      <c:barChart>
        <c:barDir val="bar"/>
        <c:grouping val="clustered"/>
        <c:varyColors val="0"/>
        <c:ser>
          <c:idx val="0"/>
          <c:order val="0"/>
          <c:tx>
            <c:strRef>
              <c:f>'Pivot Report'!$B$57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Report'!$B$58:$B$66</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3-81F3-48B3-BA8A-0C8FC981F7EE}"/>
            </c:ext>
          </c:extLst>
        </c:ser>
        <c:dLbls>
          <c:showLegendKey val="0"/>
          <c:showVal val="0"/>
          <c:showCatName val="0"/>
          <c:showSerName val="0"/>
          <c:showPercent val="0"/>
          <c:showBubbleSize val="0"/>
        </c:dLbls>
        <c:gapWidth val="72"/>
        <c:axId val="140099904"/>
        <c:axId val="140088864"/>
      </c:barChart>
      <c:catAx>
        <c:axId val="14009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88864"/>
        <c:crosses val="autoZero"/>
        <c:auto val="1"/>
        <c:lblAlgn val="ctr"/>
        <c:lblOffset val="100"/>
        <c:noMultiLvlLbl val="0"/>
      </c:catAx>
      <c:valAx>
        <c:axId val="140088864"/>
        <c:scaling>
          <c:orientation val="minMax"/>
        </c:scaling>
        <c:delete val="1"/>
        <c:axPos val="b"/>
        <c:numFmt formatCode="0" sourceLinked="1"/>
        <c:majorTickMark val="none"/>
        <c:minorTickMark val="none"/>
        <c:tickLblPos val="nextTo"/>
        <c:crossAx val="14009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2">
                <a:lumMod val="75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4313144063098976E-2"/>
          <c:w val="0.95315399260729261"/>
          <c:h val="0.72556016375815613"/>
        </c:manualLayout>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lumMod val="75000"/>
                </a:schemeClr>
              </a:solidFill>
            </a:ln>
            <a:effectLst>
              <a:innerShdw dist="38100" dir="16200000">
                <a:schemeClr val="lt1"/>
              </a:innerShdw>
            </a:effectLst>
          </c:spPr>
          <c:dLbls>
            <c:spPr>
              <a:noFill/>
              <a:ln>
                <a:noFill/>
              </a:ln>
              <a:effectLst/>
            </c:spPr>
            <c:txPr>
              <a:bodyPr rot="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Report'!$N$5:$N$35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5F2F-4836-B431-5544300360F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18025503"/>
        <c:axId val="1318034623"/>
      </c:areaChart>
      <c:dateAx>
        <c:axId val="13180255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crossAx val="1318034623"/>
        <c:crosses val="autoZero"/>
        <c:auto val="0"/>
        <c:lblOffset val="100"/>
        <c:baseTimeUnit val="days"/>
      </c:dateAx>
      <c:valAx>
        <c:axId val="1318034623"/>
        <c:scaling>
          <c:orientation val="minMax"/>
        </c:scaling>
        <c:delete val="1"/>
        <c:axPos val="l"/>
        <c:numFmt formatCode="General" sourceLinked="1"/>
        <c:majorTickMark val="out"/>
        <c:minorTickMark val="none"/>
        <c:tickLblPos val="nextTo"/>
        <c:crossAx val="13180255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accent1"/>
      </a:solidFill>
      <a:round/>
    </a:ln>
    <a:effectLst/>
  </c:spPr>
  <c:txPr>
    <a:bodyPr/>
    <a:lstStyle/>
    <a:p>
      <a:pPr>
        <a:defRPr lang="en-US" sz="900" b="0" i="0" u="none" strike="noStrike" kern="1200" baseline="0">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10603650035588E-2"/>
          <c:y val="3.1609196832708699E-3"/>
          <c:w val="0.91680917545577278"/>
          <c:h val="0.76305646497676105"/>
        </c:manualLayout>
      </c:layout>
      <c:areaChart>
        <c:grouping val="standard"/>
        <c:varyColors val="0"/>
        <c:ser>
          <c:idx val="0"/>
          <c:order val="0"/>
          <c:tx>
            <c:strRef>
              <c:f>'Pivot Report'!$R$4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Report'!$Q$5:$Q$35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Report'!$R$5:$R$35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1-7C22-4B69-AF9E-56BC8F74A72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74005535"/>
        <c:axId val="1973998335"/>
      </c:areaChart>
      <c:catAx>
        <c:axId val="19740055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3998335"/>
        <c:crosses val="autoZero"/>
        <c:auto val="1"/>
        <c:lblAlgn val="ctr"/>
        <c:lblOffset val="100"/>
        <c:noMultiLvlLbl val="0"/>
      </c:catAx>
      <c:valAx>
        <c:axId val="1973998335"/>
        <c:scaling>
          <c:orientation val="minMax"/>
        </c:scaling>
        <c:delete val="1"/>
        <c:axPos val="l"/>
        <c:numFmt formatCode="0.00" sourceLinked="1"/>
        <c:majorTickMark val="out"/>
        <c:minorTickMark val="none"/>
        <c:tickLblPos val="nextTo"/>
        <c:crossAx val="197400553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Hospital Emergency Room.xlsx]Pivot Report!PivotTable6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lumMod val="75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4109683657962E-2"/>
          <c:y val="5.6292725125652088E-2"/>
          <c:w val="0.93056596214946818"/>
          <c:h val="0.70057995543123219"/>
        </c:manualLayout>
      </c:layout>
      <c:areaChart>
        <c:grouping val="standard"/>
        <c:varyColors val="0"/>
        <c:ser>
          <c:idx val="0"/>
          <c:order val="0"/>
          <c:tx>
            <c:strRef>
              <c:f>'Pivot Report'!$V$4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lumMod val="75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Report'!$U$5:$U$35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Report'!$V$5:$V$35</c:f>
              <c:numCache>
                <c:formatCode>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1-D272-4636-BE7B-6A3A9AEFED8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44498143"/>
        <c:axId val="2044496223"/>
      </c:areaChart>
      <c:catAx>
        <c:axId val="2044498143"/>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4496223"/>
        <c:crosses val="autoZero"/>
        <c:auto val="1"/>
        <c:lblAlgn val="ctr"/>
        <c:lblOffset val="100"/>
        <c:noMultiLvlLbl val="0"/>
      </c:catAx>
      <c:valAx>
        <c:axId val="2044496223"/>
        <c:scaling>
          <c:orientation val="minMax"/>
        </c:scaling>
        <c:delete val="1"/>
        <c:axPos val="l"/>
        <c:numFmt formatCode="0.0" sourceLinked="1"/>
        <c:majorTickMark val="out"/>
        <c:minorTickMark val="none"/>
        <c:tickLblPos val="nextTo"/>
        <c:crossAx val="2044498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Sheet1!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heet3!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Sheet2!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60960</xdr:colOff>
      <xdr:row>22</xdr:row>
      <xdr:rowOff>91440</xdr:rowOff>
    </xdr:from>
    <xdr:to>
      <xdr:col>5</xdr:col>
      <xdr:colOff>160020</xdr:colOff>
      <xdr:row>25</xdr:row>
      <xdr:rowOff>0</xdr:rowOff>
    </xdr:to>
    <xdr:graphicFrame macro="">
      <xdr:nvGraphicFramePr>
        <xdr:cNvPr id="5" name="Chart 4">
          <a:extLst>
            <a:ext uri="{FF2B5EF4-FFF2-40B4-BE49-F238E27FC236}">
              <a16:creationId xmlns:a16="http://schemas.microsoft.com/office/drawing/2014/main" id="{B58DC1FF-E20A-09ED-1886-55AA13BC9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26</xdr:row>
      <xdr:rowOff>91440</xdr:rowOff>
    </xdr:from>
    <xdr:to>
      <xdr:col>5</xdr:col>
      <xdr:colOff>160020</xdr:colOff>
      <xdr:row>29</xdr:row>
      <xdr:rowOff>0</xdr:rowOff>
    </xdr:to>
    <xdr:graphicFrame macro="">
      <xdr:nvGraphicFramePr>
        <xdr:cNvPr id="9" name="Chart 8">
          <a:extLst>
            <a:ext uri="{FF2B5EF4-FFF2-40B4-BE49-F238E27FC236}">
              <a16:creationId xmlns:a16="http://schemas.microsoft.com/office/drawing/2014/main" id="{0F6D9889-FC42-4C9B-8DC5-E087DFCC8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83820</xdr:colOff>
      <xdr:row>0</xdr:row>
      <xdr:rowOff>91684</xdr:rowOff>
    </xdr:from>
    <xdr:to>
      <xdr:col>6</xdr:col>
      <xdr:colOff>0</xdr:colOff>
      <xdr:row>3</xdr:row>
      <xdr:rowOff>145024</xdr:rowOff>
    </xdr:to>
    <xdr:sp macro="" textlink="">
      <xdr:nvSpPr>
        <xdr:cNvPr id="2" name="Rectangle: Rounded Corners 1">
          <a:extLst>
            <a:ext uri="{FF2B5EF4-FFF2-40B4-BE49-F238E27FC236}">
              <a16:creationId xmlns:a16="http://schemas.microsoft.com/office/drawing/2014/main" id="{DF12A104-6957-0B38-D826-EC2D10B65ACD}"/>
            </a:ext>
          </a:extLst>
        </xdr:cNvPr>
        <xdr:cNvSpPr/>
      </xdr:nvSpPr>
      <xdr:spPr>
        <a:xfrm>
          <a:off x="83820" y="91684"/>
          <a:ext cx="3573780" cy="601980"/>
        </a:xfrm>
        <a:prstGeom prst="roundRect">
          <a:avLst>
            <a:gd name="adj" fmla="val 527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79766</xdr:colOff>
      <xdr:row>0</xdr:row>
      <xdr:rowOff>76200</xdr:rowOff>
    </xdr:from>
    <xdr:to>
      <xdr:col>8</xdr:col>
      <xdr:colOff>361706</xdr:colOff>
      <xdr:row>3</xdr:row>
      <xdr:rowOff>145023</xdr:rowOff>
    </xdr:to>
    <xdr:sp macro="" textlink="">
      <xdr:nvSpPr>
        <xdr:cNvPr id="3" name="Rectangle: Rounded Corners 2">
          <a:extLst>
            <a:ext uri="{FF2B5EF4-FFF2-40B4-BE49-F238E27FC236}">
              <a16:creationId xmlns:a16="http://schemas.microsoft.com/office/drawing/2014/main" id="{1FE6D0F7-7A68-B9E4-2892-B88326CDBD70}"/>
            </a:ext>
          </a:extLst>
        </xdr:cNvPr>
        <xdr:cNvSpPr/>
      </xdr:nvSpPr>
      <xdr:spPr>
        <a:xfrm>
          <a:off x="3737366" y="76200"/>
          <a:ext cx="1501140" cy="617463"/>
        </a:xfrm>
        <a:prstGeom prst="roundRect">
          <a:avLst>
            <a:gd name="adj" fmla="val 780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441960</xdr:colOff>
      <xdr:row>0</xdr:row>
      <xdr:rowOff>76201</xdr:rowOff>
    </xdr:from>
    <xdr:to>
      <xdr:col>11</xdr:col>
      <xdr:colOff>571500</xdr:colOff>
      <xdr:row>9</xdr:row>
      <xdr:rowOff>0</xdr:rowOff>
    </xdr:to>
    <xdr:sp macro="" textlink="">
      <xdr:nvSpPr>
        <xdr:cNvPr id="4" name="Rectangle: Rounded Corners 3">
          <a:extLst>
            <a:ext uri="{FF2B5EF4-FFF2-40B4-BE49-F238E27FC236}">
              <a16:creationId xmlns:a16="http://schemas.microsoft.com/office/drawing/2014/main" id="{D9DC6644-EA18-4E85-7D3B-E1DE2933B152}"/>
            </a:ext>
          </a:extLst>
        </xdr:cNvPr>
        <xdr:cNvSpPr/>
      </xdr:nvSpPr>
      <xdr:spPr>
        <a:xfrm>
          <a:off x="5318760" y="76201"/>
          <a:ext cx="1958340" cy="1569719"/>
        </a:xfrm>
        <a:prstGeom prst="roundRect">
          <a:avLst>
            <a:gd name="adj" fmla="val 27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12</xdr:col>
      <xdr:colOff>38100</xdr:colOff>
      <xdr:row>0</xdr:row>
      <xdr:rowOff>76201</xdr:rowOff>
    </xdr:from>
    <xdr:to>
      <xdr:col>15</xdr:col>
      <xdr:colOff>0</xdr:colOff>
      <xdr:row>9</xdr:row>
      <xdr:rowOff>0</xdr:rowOff>
    </xdr:to>
    <xdr:sp macro="" textlink="">
      <xdr:nvSpPr>
        <xdr:cNvPr id="5" name="Rectangle: Rounded Corners 4">
          <a:extLst>
            <a:ext uri="{FF2B5EF4-FFF2-40B4-BE49-F238E27FC236}">
              <a16:creationId xmlns:a16="http://schemas.microsoft.com/office/drawing/2014/main" id="{FF712098-1933-2969-6844-7200125150C9}"/>
            </a:ext>
          </a:extLst>
        </xdr:cNvPr>
        <xdr:cNvSpPr/>
      </xdr:nvSpPr>
      <xdr:spPr>
        <a:xfrm>
          <a:off x="7353300" y="76201"/>
          <a:ext cx="1790700" cy="1569719"/>
        </a:xfrm>
        <a:prstGeom prst="roundRect">
          <a:avLst>
            <a:gd name="adj" fmla="val 27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0</xdr:col>
      <xdr:colOff>83820</xdr:colOff>
      <xdr:row>4</xdr:row>
      <xdr:rowOff>22860</xdr:rowOff>
    </xdr:from>
    <xdr:to>
      <xdr:col>1</xdr:col>
      <xdr:colOff>266700</xdr:colOff>
      <xdr:row>23</xdr:row>
      <xdr:rowOff>99059</xdr:rowOff>
    </xdr:to>
    <xdr:sp macro="" textlink="">
      <xdr:nvSpPr>
        <xdr:cNvPr id="6" name="Rectangle: Rounded Corners 5">
          <a:extLst>
            <a:ext uri="{FF2B5EF4-FFF2-40B4-BE49-F238E27FC236}">
              <a16:creationId xmlns:a16="http://schemas.microsoft.com/office/drawing/2014/main" id="{CEBD7BAF-127A-7052-50A8-6B8C83B82058}"/>
            </a:ext>
          </a:extLst>
        </xdr:cNvPr>
        <xdr:cNvSpPr/>
      </xdr:nvSpPr>
      <xdr:spPr>
        <a:xfrm>
          <a:off x="83820" y="754380"/>
          <a:ext cx="792480" cy="3550919"/>
        </a:xfrm>
        <a:prstGeom prst="roundRect">
          <a:avLst>
            <a:gd name="adj" fmla="val 55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327660</xdr:colOff>
      <xdr:row>4</xdr:row>
      <xdr:rowOff>22860</xdr:rowOff>
    </xdr:from>
    <xdr:to>
      <xdr:col>8</xdr:col>
      <xdr:colOff>361706</xdr:colOff>
      <xdr:row>8</xdr:row>
      <xdr:rowOff>30480</xdr:rowOff>
    </xdr:to>
    <xdr:grpSp>
      <xdr:nvGrpSpPr>
        <xdr:cNvPr id="21" name="Group 20">
          <a:extLst>
            <a:ext uri="{FF2B5EF4-FFF2-40B4-BE49-F238E27FC236}">
              <a16:creationId xmlns:a16="http://schemas.microsoft.com/office/drawing/2014/main" id="{06D85F1E-1F31-F62E-E03B-C2E455F29A04}"/>
            </a:ext>
          </a:extLst>
        </xdr:cNvPr>
        <xdr:cNvGrpSpPr/>
      </xdr:nvGrpSpPr>
      <xdr:grpSpPr>
        <a:xfrm>
          <a:off x="937260" y="754380"/>
          <a:ext cx="4301246" cy="739140"/>
          <a:chOff x="937260" y="777240"/>
          <a:chExt cx="4229100" cy="716280"/>
        </a:xfrm>
      </xdr:grpSpPr>
      <xdr:sp macro="" textlink="">
        <xdr:nvSpPr>
          <xdr:cNvPr id="7" name="Rectangle: Rounded Corners 6">
            <a:extLst>
              <a:ext uri="{FF2B5EF4-FFF2-40B4-BE49-F238E27FC236}">
                <a16:creationId xmlns:a16="http://schemas.microsoft.com/office/drawing/2014/main" id="{F5453E5F-5F49-A5C3-C418-00FB27263347}"/>
              </a:ext>
            </a:extLst>
          </xdr:cNvPr>
          <xdr:cNvSpPr/>
        </xdr:nvSpPr>
        <xdr:spPr>
          <a:xfrm>
            <a:off x="937260" y="777240"/>
            <a:ext cx="1381668" cy="708660"/>
          </a:xfrm>
          <a:prstGeom prst="roundRect">
            <a:avLst>
              <a:gd name="adj" fmla="val 392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ACB8DBE1-B103-8B60-867E-34F3DA406D74}"/>
              </a:ext>
            </a:extLst>
          </xdr:cNvPr>
          <xdr:cNvSpPr/>
        </xdr:nvSpPr>
        <xdr:spPr>
          <a:xfrm>
            <a:off x="2373111" y="777240"/>
            <a:ext cx="1381668" cy="708660"/>
          </a:xfrm>
          <a:prstGeom prst="roundRect">
            <a:avLst>
              <a:gd name="adj" fmla="val 49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9A7738B8-EFAA-F815-5B37-F1285E6A1041}"/>
              </a:ext>
            </a:extLst>
          </xdr:cNvPr>
          <xdr:cNvSpPr/>
        </xdr:nvSpPr>
        <xdr:spPr>
          <a:xfrm>
            <a:off x="3811783" y="784861"/>
            <a:ext cx="1354577" cy="708659"/>
          </a:xfrm>
          <a:prstGeom prst="roundRect">
            <a:avLst>
              <a:gd name="adj" fmla="val 60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editAs="absolute">
    <xdr:from>
      <xdr:col>1</xdr:col>
      <xdr:colOff>327660</xdr:colOff>
      <xdr:row>8</xdr:row>
      <xdr:rowOff>113892</xdr:rowOff>
    </xdr:from>
    <xdr:to>
      <xdr:col>8</xdr:col>
      <xdr:colOff>354086</xdr:colOff>
      <xdr:row>12</xdr:row>
      <xdr:rowOff>45312</xdr:rowOff>
    </xdr:to>
    <xdr:sp macro="" textlink="">
      <xdr:nvSpPr>
        <xdr:cNvPr id="13" name="Rectangle: Rounded Corners 12">
          <a:extLst>
            <a:ext uri="{FF2B5EF4-FFF2-40B4-BE49-F238E27FC236}">
              <a16:creationId xmlns:a16="http://schemas.microsoft.com/office/drawing/2014/main" id="{B8373C1D-FC57-DA8A-7783-A213DC9DEFB8}"/>
            </a:ext>
          </a:extLst>
        </xdr:cNvPr>
        <xdr:cNvSpPr/>
      </xdr:nvSpPr>
      <xdr:spPr>
        <a:xfrm>
          <a:off x="937260" y="1576932"/>
          <a:ext cx="4293626" cy="662940"/>
        </a:xfrm>
        <a:prstGeom prst="roundRect">
          <a:avLst>
            <a:gd name="adj" fmla="val 74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335280</xdr:colOff>
      <xdr:row>12</xdr:row>
      <xdr:rowOff>144780</xdr:rowOff>
    </xdr:from>
    <xdr:to>
      <xdr:col>8</xdr:col>
      <xdr:colOff>361706</xdr:colOff>
      <xdr:row>23</xdr:row>
      <xdr:rowOff>114299</xdr:rowOff>
    </xdr:to>
    <xdr:sp macro="" textlink="">
      <xdr:nvSpPr>
        <xdr:cNvPr id="14" name="Rectangle: Rounded Corners 13">
          <a:extLst>
            <a:ext uri="{FF2B5EF4-FFF2-40B4-BE49-F238E27FC236}">
              <a16:creationId xmlns:a16="http://schemas.microsoft.com/office/drawing/2014/main" id="{3F4DA407-9A72-6CD8-F573-4D37C7CE1175}"/>
            </a:ext>
          </a:extLst>
        </xdr:cNvPr>
        <xdr:cNvSpPr/>
      </xdr:nvSpPr>
      <xdr:spPr>
        <a:xfrm>
          <a:off x="944880" y="2339340"/>
          <a:ext cx="4293626" cy="1981199"/>
        </a:xfrm>
        <a:prstGeom prst="roundRect">
          <a:avLst>
            <a:gd name="adj" fmla="val 25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8</xdr:col>
      <xdr:colOff>441960</xdr:colOff>
      <xdr:row>9</xdr:row>
      <xdr:rowOff>83821</xdr:rowOff>
    </xdr:from>
    <xdr:to>
      <xdr:col>15</xdr:col>
      <xdr:colOff>0</xdr:colOff>
      <xdr:row>23</xdr:row>
      <xdr:rowOff>106678</xdr:rowOff>
    </xdr:to>
    <xdr:sp macro="" textlink="">
      <xdr:nvSpPr>
        <xdr:cNvPr id="24" name="Rectangle: Rounded Corners 23">
          <a:extLst>
            <a:ext uri="{FF2B5EF4-FFF2-40B4-BE49-F238E27FC236}">
              <a16:creationId xmlns:a16="http://schemas.microsoft.com/office/drawing/2014/main" id="{28ED7F2A-4DBD-547A-84CB-8EB511ECA9AA}"/>
            </a:ext>
          </a:extLst>
        </xdr:cNvPr>
        <xdr:cNvSpPr/>
      </xdr:nvSpPr>
      <xdr:spPr>
        <a:xfrm>
          <a:off x="5318760" y="1729741"/>
          <a:ext cx="3825240" cy="2583177"/>
        </a:xfrm>
        <a:prstGeom prst="roundRect">
          <a:avLst>
            <a:gd name="adj" fmla="val 27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335280</xdr:colOff>
      <xdr:row>0</xdr:row>
      <xdr:rowOff>167640</xdr:rowOff>
    </xdr:from>
    <xdr:to>
      <xdr:col>6</xdr:col>
      <xdr:colOff>0</xdr:colOff>
      <xdr:row>2</xdr:row>
      <xdr:rowOff>0</xdr:rowOff>
    </xdr:to>
    <xdr:sp macro="" textlink="">
      <xdr:nvSpPr>
        <xdr:cNvPr id="25" name="TextBox 24">
          <a:extLst>
            <a:ext uri="{FF2B5EF4-FFF2-40B4-BE49-F238E27FC236}">
              <a16:creationId xmlns:a16="http://schemas.microsoft.com/office/drawing/2014/main" id="{817FFEE0-C2FE-1982-E0AF-E466219B8EFC}"/>
            </a:ext>
          </a:extLst>
        </xdr:cNvPr>
        <xdr:cNvSpPr txBox="1"/>
      </xdr:nvSpPr>
      <xdr:spPr>
        <a:xfrm>
          <a:off x="944880" y="167640"/>
          <a:ext cx="27127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300" b="1"/>
            <a:t>Hospital Emergency Room Dashboard</a:t>
          </a:r>
        </a:p>
      </xdr:txBody>
    </xdr:sp>
    <xdr:clientData/>
  </xdr:twoCellAnchor>
  <xdr:twoCellAnchor editAs="oneCell">
    <xdr:from>
      <xdr:col>0</xdr:col>
      <xdr:colOff>83820</xdr:colOff>
      <xdr:row>0</xdr:row>
      <xdr:rowOff>45476</xdr:rowOff>
    </xdr:from>
    <xdr:to>
      <xdr:col>1</xdr:col>
      <xdr:colOff>266700</xdr:colOff>
      <xdr:row>3</xdr:row>
      <xdr:rowOff>145023</xdr:rowOff>
    </xdr:to>
    <xdr:pic>
      <xdr:nvPicPr>
        <xdr:cNvPr id="27" name="Picture 26">
          <a:extLst>
            <a:ext uri="{FF2B5EF4-FFF2-40B4-BE49-F238E27FC236}">
              <a16:creationId xmlns:a16="http://schemas.microsoft.com/office/drawing/2014/main" id="{BE890DA5-9055-0B4D-6965-515C0435EB75}"/>
            </a:ext>
          </a:extLst>
        </xdr:cNvPr>
        <xdr:cNvPicPr>
          <a:picLocks noChangeAspect="1"/>
        </xdr:cNvPicPr>
      </xdr:nvPicPr>
      <xdr:blipFill rotWithShape="1">
        <a:blip xmlns:r="http://schemas.openxmlformats.org/officeDocument/2006/relationships" r:embed="rId1" cstate="print">
          <a:duotone>
            <a:schemeClr val="accent2">
              <a:shade val="45000"/>
              <a:satMod val="135000"/>
            </a:schemeClr>
            <a:prstClr val="white"/>
          </a:duotone>
          <a:extLst>
            <a:ext uri="{28A0092B-C50C-407E-A947-70E740481C1C}">
              <a14:useLocalDpi xmlns:a14="http://schemas.microsoft.com/office/drawing/2010/main" val="0"/>
            </a:ext>
          </a:extLst>
        </a:blip>
        <a:srcRect l="12765" t="-3332" r="6948" b="8850"/>
        <a:stretch>
          <a:fillRect/>
        </a:stretch>
      </xdr:blipFill>
      <xdr:spPr>
        <a:xfrm>
          <a:off x="83820" y="45476"/>
          <a:ext cx="792480" cy="648187"/>
        </a:xfrm>
        <a:prstGeom prst="rect">
          <a:avLst/>
        </a:prstGeom>
        <a:noFill/>
      </xdr:spPr>
    </xdr:pic>
    <xdr:clientData/>
  </xdr:twoCellAnchor>
  <xdr:twoCellAnchor editAs="absolute">
    <xdr:from>
      <xdr:col>1</xdr:col>
      <xdr:colOff>342900</xdr:colOff>
      <xdr:row>2</xdr:row>
      <xdr:rowOff>0</xdr:rowOff>
    </xdr:from>
    <xdr:to>
      <xdr:col>6</xdr:col>
      <xdr:colOff>0</xdr:colOff>
      <xdr:row>3</xdr:row>
      <xdr:rowOff>0</xdr:rowOff>
    </xdr:to>
    <xdr:sp macro="" textlink="">
      <xdr:nvSpPr>
        <xdr:cNvPr id="29" name="TextBox 28">
          <a:extLst>
            <a:ext uri="{FF2B5EF4-FFF2-40B4-BE49-F238E27FC236}">
              <a16:creationId xmlns:a16="http://schemas.microsoft.com/office/drawing/2014/main" id="{72BD70F4-9425-9297-2D5A-AE788C623B82}"/>
            </a:ext>
          </a:extLst>
        </xdr:cNvPr>
        <xdr:cNvSpPr txBox="1"/>
      </xdr:nvSpPr>
      <xdr:spPr>
        <a:xfrm>
          <a:off x="952500" y="365760"/>
          <a:ext cx="27051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t>Monthly</a:t>
          </a:r>
          <a:r>
            <a:rPr lang="en-IN" sz="1200" b="0" baseline="0"/>
            <a:t> Report</a:t>
          </a:r>
          <a:endParaRPr lang="en-IN" sz="1200" b="0"/>
        </a:p>
      </xdr:txBody>
    </xdr:sp>
    <xdr:clientData/>
  </xdr:twoCellAnchor>
  <xdr:twoCellAnchor editAs="absolute">
    <xdr:from>
      <xdr:col>1</xdr:col>
      <xdr:colOff>429878</xdr:colOff>
      <xdr:row>5</xdr:row>
      <xdr:rowOff>106924</xdr:rowOff>
    </xdr:from>
    <xdr:to>
      <xdr:col>3</xdr:col>
      <xdr:colOff>429878</xdr:colOff>
      <xdr:row>6</xdr:row>
      <xdr:rowOff>106924</xdr:rowOff>
    </xdr:to>
    <xdr:sp macro="" textlink="">
      <xdr:nvSpPr>
        <xdr:cNvPr id="30" name="TextBox 29">
          <a:extLst>
            <a:ext uri="{FF2B5EF4-FFF2-40B4-BE49-F238E27FC236}">
              <a16:creationId xmlns:a16="http://schemas.microsoft.com/office/drawing/2014/main" id="{35EC56C1-5BB1-D03D-71B4-CED5A0869E5D}"/>
            </a:ext>
          </a:extLst>
        </xdr:cNvPr>
        <xdr:cNvSpPr txBox="1"/>
      </xdr:nvSpPr>
      <xdr:spPr>
        <a:xfrm>
          <a:off x="1039478" y="1021324"/>
          <a:ext cx="12192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t>No.</a:t>
          </a:r>
          <a:r>
            <a:rPr lang="en-IN" sz="1200" b="0" baseline="0"/>
            <a:t> of Patient</a:t>
          </a:r>
          <a:endParaRPr lang="en-IN" sz="1200" b="0"/>
        </a:p>
      </xdr:txBody>
    </xdr:sp>
    <xdr:clientData/>
  </xdr:twoCellAnchor>
  <xdr:twoCellAnchor editAs="absolute">
    <xdr:from>
      <xdr:col>1</xdr:col>
      <xdr:colOff>429878</xdr:colOff>
      <xdr:row>4</xdr:row>
      <xdr:rowOff>106924</xdr:rowOff>
    </xdr:from>
    <xdr:to>
      <xdr:col>3</xdr:col>
      <xdr:colOff>429878</xdr:colOff>
      <xdr:row>5</xdr:row>
      <xdr:rowOff>106924</xdr:rowOff>
    </xdr:to>
    <xdr:sp macro="" textlink="'Pivot Report'!A5">
      <xdr:nvSpPr>
        <xdr:cNvPr id="31" name="TextBox 30">
          <a:extLst>
            <a:ext uri="{FF2B5EF4-FFF2-40B4-BE49-F238E27FC236}">
              <a16:creationId xmlns:a16="http://schemas.microsoft.com/office/drawing/2014/main" id="{7D7EBD26-5F2A-11EE-FB3A-27A5F6AE3722}"/>
            </a:ext>
          </a:extLst>
        </xdr:cNvPr>
        <xdr:cNvSpPr txBox="1"/>
      </xdr:nvSpPr>
      <xdr:spPr>
        <a:xfrm>
          <a:off x="1039478" y="838444"/>
          <a:ext cx="12192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C23BC20-CEFF-470E-A0C8-4DF174FCA6C6}" type="TxLink">
            <a:rPr lang="en-US" sz="1100" b="1" i="0" u="none" strike="noStrike">
              <a:solidFill>
                <a:srgbClr val="000000"/>
              </a:solidFill>
              <a:latin typeface="Aptos Narrow"/>
            </a:rPr>
            <a:pPr algn="ctr"/>
            <a:t>479</a:t>
          </a:fld>
          <a:endParaRPr lang="en-IN" sz="1200" b="1"/>
        </a:p>
      </xdr:txBody>
    </xdr:sp>
    <xdr:clientData/>
  </xdr:twoCellAnchor>
  <xdr:twoCellAnchor editAs="absolute">
    <xdr:from>
      <xdr:col>6</xdr:col>
      <xdr:colOff>289560</xdr:colOff>
      <xdr:row>5</xdr:row>
      <xdr:rowOff>114788</xdr:rowOff>
    </xdr:from>
    <xdr:to>
      <xdr:col>8</xdr:col>
      <xdr:colOff>289560</xdr:colOff>
      <xdr:row>6</xdr:row>
      <xdr:rowOff>114788</xdr:rowOff>
    </xdr:to>
    <xdr:sp macro="" textlink="">
      <xdr:nvSpPr>
        <xdr:cNvPr id="32" name="TextBox 31">
          <a:extLst>
            <a:ext uri="{FF2B5EF4-FFF2-40B4-BE49-F238E27FC236}">
              <a16:creationId xmlns:a16="http://schemas.microsoft.com/office/drawing/2014/main" id="{B25C8506-87BC-B420-0317-B09D43329EB6}"/>
            </a:ext>
          </a:extLst>
        </xdr:cNvPr>
        <xdr:cNvSpPr txBox="1"/>
      </xdr:nvSpPr>
      <xdr:spPr>
        <a:xfrm>
          <a:off x="3947160" y="1029188"/>
          <a:ext cx="12192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t>Satisfaction</a:t>
          </a:r>
          <a:r>
            <a:rPr lang="en-IN" sz="1200" b="0" baseline="0"/>
            <a:t> Score</a:t>
          </a:r>
        </a:p>
        <a:p>
          <a:pPr algn="ctr"/>
          <a:endParaRPr lang="en-IN" sz="1200" b="0"/>
        </a:p>
      </xdr:txBody>
    </xdr:sp>
    <xdr:clientData/>
  </xdr:twoCellAnchor>
  <xdr:twoCellAnchor editAs="absolute">
    <xdr:from>
      <xdr:col>6</xdr:col>
      <xdr:colOff>289560</xdr:colOff>
      <xdr:row>4</xdr:row>
      <xdr:rowOff>129540</xdr:rowOff>
    </xdr:from>
    <xdr:to>
      <xdr:col>8</xdr:col>
      <xdr:colOff>289560</xdr:colOff>
      <xdr:row>5</xdr:row>
      <xdr:rowOff>129540</xdr:rowOff>
    </xdr:to>
    <xdr:sp macro="" textlink="'Pivot Report'!A13">
      <xdr:nvSpPr>
        <xdr:cNvPr id="33" name="TextBox 32">
          <a:extLst>
            <a:ext uri="{FF2B5EF4-FFF2-40B4-BE49-F238E27FC236}">
              <a16:creationId xmlns:a16="http://schemas.microsoft.com/office/drawing/2014/main" id="{34610D13-0091-9914-804F-17DCAE3E84CC}"/>
            </a:ext>
          </a:extLst>
        </xdr:cNvPr>
        <xdr:cNvSpPr txBox="1"/>
      </xdr:nvSpPr>
      <xdr:spPr>
        <a:xfrm>
          <a:off x="3947160" y="861060"/>
          <a:ext cx="12192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F807973-479E-4B09-BC58-95271055894B}" type="TxLink">
            <a:rPr lang="en-US" sz="1100" b="1" i="0" u="none" strike="noStrike">
              <a:solidFill>
                <a:srgbClr val="000000"/>
              </a:solidFill>
              <a:latin typeface="Aptos Narrow"/>
            </a:rPr>
            <a:pPr algn="ctr"/>
            <a:t>5.30</a:t>
          </a:fld>
          <a:endParaRPr lang="en-IN" sz="1200" b="1"/>
        </a:p>
      </xdr:txBody>
    </xdr:sp>
    <xdr:clientData/>
  </xdr:twoCellAnchor>
  <xdr:twoCellAnchor editAs="absolute">
    <xdr:from>
      <xdr:col>4</xdr:col>
      <xdr:colOff>72146</xdr:colOff>
      <xdr:row>5</xdr:row>
      <xdr:rowOff>106924</xdr:rowOff>
    </xdr:from>
    <xdr:to>
      <xdr:col>6</xdr:col>
      <xdr:colOff>72146</xdr:colOff>
      <xdr:row>6</xdr:row>
      <xdr:rowOff>106924</xdr:rowOff>
    </xdr:to>
    <xdr:sp macro="" textlink="">
      <xdr:nvSpPr>
        <xdr:cNvPr id="34" name="TextBox 33">
          <a:extLst>
            <a:ext uri="{FF2B5EF4-FFF2-40B4-BE49-F238E27FC236}">
              <a16:creationId xmlns:a16="http://schemas.microsoft.com/office/drawing/2014/main" id="{2E44A8E9-216D-FDED-7F92-0CD1AB4C0039}"/>
            </a:ext>
          </a:extLst>
        </xdr:cNvPr>
        <xdr:cNvSpPr txBox="1"/>
      </xdr:nvSpPr>
      <xdr:spPr>
        <a:xfrm>
          <a:off x="2510546" y="1021324"/>
          <a:ext cx="12192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t>Average</a:t>
          </a:r>
          <a:r>
            <a:rPr lang="en-IN" sz="1200" b="0" baseline="0"/>
            <a:t> Wait Time</a:t>
          </a:r>
          <a:endParaRPr lang="en-IN" sz="1200" b="0"/>
        </a:p>
      </xdr:txBody>
    </xdr:sp>
    <xdr:clientData/>
  </xdr:twoCellAnchor>
  <xdr:twoCellAnchor editAs="absolute">
    <xdr:from>
      <xdr:col>4</xdr:col>
      <xdr:colOff>72146</xdr:colOff>
      <xdr:row>4</xdr:row>
      <xdr:rowOff>122408</xdr:rowOff>
    </xdr:from>
    <xdr:to>
      <xdr:col>6</xdr:col>
      <xdr:colOff>72146</xdr:colOff>
      <xdr:row>5</xdr:row>
      <xdr:rowOff>122408</xdr:rowOff>
    </xdr:to>
    <xdr:sp macro="" textlink="'Pivot Report'!A9">
      <xdr:nvSpPr>
        <xdr:cNvPr id="35" name="TextBox 34">
          <a:extLst>
            <a:ext uri="{FF2B5EF4-FFF2-40B4-BE49-F238E27FC236}">
              <a16:creationId xmlns:a16="http://schemas.microsoft.com/office/drawing/2014/main" id="{F5E4ECD7-D4E5-1F5F-A723-6B05F24FFD84}"/>
            </a:ext>
          </a:extLst>
        </xdr:cNvPr>
        <xdr:cNvSpPr txBox="1"/>
      </xdr:nvSpPr>
      <xdr:spPr>
        <a:xfrm>
          <a:off x="2510546" y="853928"/>
          <a:ext cx="12192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E9E71C9-DC1A-4261-A0AF-3C3F4F8D40AF}" type="TxLink">
            <a:rPr lang="en-US" sz="1100" b="1" i="0" u="none" strike="noStrike">
              <a:solidFill>
                <a:srgbClr val="000000"/>
              </a:solidFill>
              <a:latin typeface="Aptos Narrow"/>
            </a:rPr>
            <a:pPr algn="ctr"/>
            <a:t>34.90</a:t>
          </a:fld>
          <a:endParaRPr lang="en-IN" sz="1200" b="1"/>
        </a:p>
      </xdr:txBody>
    </xdr:sp>
    <xdr:clientData/>
  </xdr:twoCellAnchor>
  <xdr:twoCellAnchor editAs="oneCell">
    <xdr:from>
      <xdr:col>3</xdr:col>
      <xdr:colOff>236220</xdr:colOff>
      <xdr:row>4</xdr:row>
      <xdr:rowOff>30724</xdr:rowOff>
    </xdr:from>
    <xdr:to>
      <xdr:col>3</xdr:col>
      <xdr:colOff>485394</xdr:colOff>
      <xdr:row>5</xdr:row>
      <xdr:rowOff>97018</xdr:rowOff>
    </xdr:to>
    <xdr:pic>
      <xdr:nvPicPr>
        <xdr:cNvPr id="37" name="Graphic 36" descr="User with solid fill">
          <a:extLst>
            <a:ext uri="{FF2B5EF4-FFF2-40B4-BE49-F238E27FC236}">
              <a16:creationId xmlns:a16="http://schemas.microsoft.com/office/drawing/2014/main" id="{178932A6-1A13-85EF-BBB9-94F42BD9AC1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65020" y="762244"/>
          <a:ext cx="249174" cy="249174"/>
        </a:xfrm>
        <a:prstGeom prst="rect">
          <a:avLst/>
        </a:prstGeom>
      </xdr:spPr>
    </xdr:pic>
    <xdr:clientData/>
  </xdr:twoCellAnchor>
  <xdr:twoCellAnchor editAs="oneCell">
    <xdr:from>
      <xdr:col>5</xdr:col>
      <xdr:colOff>502920</xdr:colOff>
      <xdr:row>4</xdr:row>
      <xdr:rowOff>30724</xdr:rowOff>
    </xdr:from>
    <xdr:to>
      <xdr:col>6</xdr:col>
      <xdr:colOff>111662</xdr:colOff>
      <xdr:row>5</xdr:row>
      <xdr:rowOff>66186</xdr:rowOff>
    </xdr:to>
    <xdr:pic>
      <xdr:nvPicPr>
        <xdr:cNvPr id="39" name="Graphic 38" descr="Hourglass 30% with solid fill">
          <a:extLst>
            <a:ext uri="{FF2B5EF4-FFF2-40B4-BE49-F238E27FC236}">
              <a16:creationId xmlns:a16="http://schemas.microsoft.com/office/drawing/2014/main" id="{0A18D2C7-4A4E-6D4D-60A8-3115E3EF7AD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50920" y="762244"/>
          <a:ext cx="218342" cy="218342"/>
        </a:xfrm>
        <a:prstGeom prst="rect">
          <a:avLst/>
        </a:prstGeom>
      </xdr:spPr>
    </xdr:pic>
    <xdr:clientData/>
  </xdr:twoCellAnchor>
  <xdr:twoCellAnchor editAs="oneCell">
    <xdr:from>
      <xdr:col>8</xdr:col>
      <xdr:colOff>15240</xdr:colOff>
      <xdr:row>4</xdr:row>
      <xdr:rowOff>12967</xdr:rowOff>
    </xdr:from>
    <xdr:to>
      <xdr:col>8</xdr:col>
      <xdr:colOff>354086</xdr:colOff>
      <xdr:row>5</xdr:row>
      <xdr:rowOff>168933</xdr:rowOff>
    </xdr:to>
    <xdr:pic>
      <xdr:nvPicPr>
        <xdr:cNvPr id="41" name="Graphic 40" descr="Rating with solid fill">
          <a:extLst>
            <a:ext uri="{FF2B5EF4-FFF2-40B4-BE49-F238E27FC236}">
              <a16:creationId xmlns:a16="http://schemas.microsoft.com/office/drawing/2014/main" id="{71F38301-6A44-9A6C-7D6B-5784F3F8B86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92040" y="744487"/>
          <a:ext cx="338846" cy="338846"/>
        </a:xfrm>
        <a:prstGeom prst="rect">
          <a:avLst/>
        </a:prstGeom>
      </xdr:spPr>
    </xdr:pic>
    <xdr:clientData/>
  </xdr:twoCellAnchor>
  <xdr:twoCellAnchor editAs="oneCell">
    <xdr:from>
      <xdr:col>0</xdr:col>
      <xdr:colOff>121920</xdr:colOff>
      <xdr:row>4</xdr:row>
      <xdr:rowOff>45964</xdr:rowOff>
    </xdr:from>
    <xdr:to>
      <xdr:col>1</xdr:col>
      <xdr:colOff>228600</xdr:colOff>
      <xdr:row>23</xdr:row>
      <xdr:rowOff>106679</xdr:rowOff>
    </xdr:to>
    <mc:AlternateContent xmlns:mc="http://schemas.openxmlformats.org/markup-compatibility/2006" xmlns:a14="http://schemas.microsoft.com/office/drawing/2010/main">
      <mc:Choice Requires="a14">
        <xdr:graphicFrame macro="">
          <xdr:nvGraphicFramePr>
            <xdr:cNvPr id="42" name="Date (Month)">
              <a:extLst>
                <a:ext uri="{FF2B5EF4-FFF2-40B4-BE49-F238E27FC236}">
                  <a16:creationId xmlns:a16="http://schemas.microsoft.com/office/drawing/2014/main" id="{C1ECEEDF-3364-4BDE-B168-04B7BA44563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1920" y="777484"/>
              <a:ext cx="716280" cy="3535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304800</xdr:colOff>
      <xdr:row>6</xdr:row>
      <xdr:rowOff>53340</xdr:rowOff>
    </xdr:from>
    <xdr:to>
      <xdr:col>3</xdr:col>
      <xdr:colOff>518160</xdr:colOff>
      <xdr:row>8</xdr:row>
      <xdr:rowOff>38100</xdr:rowOff>
    </xdr:to>
    <xdr:graphicFrame macro="">
      <xdr:nvGraphicFramePr>
        <xdr:cNvPr id="11" name="Chart 10">
          <a:hlinkClick xmlns:r="http://schemas.openxmlformats.org/officeDocument/2006/relationships" r:id="rId8"/>
          <a:extLst>
            <a:ext uri="{FF2B5EF4-FFF2-40B4-BE49-F238E27FC236}">
              <a16:creationId xmlns:a16="http://schemas.microsoft.com/office/drawing/2014/main" id="{C1B196BA-0654-4244-9962-546D5F947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571500</xdr:colOff>
      <xdr:row>6</xdr:row>
      <xdr:rowOff>152400</xdr:rowOff>
    </xdr:from>
    <xdr:to>
      <xdr:col>6</xdr:col>
      <xdr:colOff>144780</xdr:colOff>
      <xdr:row>8</xdr:row>
      <xdr:rowOff>38100</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98268837-0078-4618-B79C-E045C81ED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205740</xdr:colOff>
      <xdr:row>6</xdr:row>
      <xdr:rowOff>137160</xdr:rowOff>
    </xdr:from>
    <xdr:to>
      <xdr:col>8</xdr:col>
      <xdr:colOff>358140</xdr:colOff>
      <xdr:row>8</xdr:row>
      <xdr:rowOff>60960</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408C1551-1701-448E-A275-30041766D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320040</xdr:colOff>
          <xdr:row>8</xdr:row>
          <xdr:rowOff>99060</xdr:rowOff>
        </xdr:from>
        <xdr:to>
          <xdr:col>8</xdr:col>
          <xdr:colOff>357670</xdr:colOff>
          <xdr:row>12</xdr:row>
          <xdr:rowOff>38100</xdr:rowOff>
        </xdr:to>
        <xdr:pic>
          <xdr:nvPicPr>
            <xdr:cNvPr id="20" name="Picture 19">
              <a:extLst>
                <a:ext uri="{FF2B5EF4-FFF2-40B4-BE49-F238E27FC236}">
                  <a16:creationId xmlns:a16="http://schemas.microsoft.com/office/drawing/2014/main" id="{2F53097A-C6D2-3B6B-53FD-95CAC0EEA2ED}"/>
                </a:ext>
              </a:extLst>
            </xdr:cNvPr>
            <xdr:cNvPicPr>
              <a:picLocks noChangeAspect="1" noChangeArrowheads="1"/>
              <a:extLst>
                <a:ext uri="{84589F7E-364E-4C9E-8A38-B11213B215E9}">
                  <a14:cameraTool cellRange="'Pivot Report'!$A$23:$F$25" spid="_x0000_s1124"/>
                </a:ext>
              </a:extLst>
            </xdr:cNvPicPr>
          </xdr:nvPicPr>
          <xdr:blipFill>
            <a:blip xmlns:r="http://schemas.openxmlformats.org/officeDocument/2006/relationships" r:embed="rId14"/>
            <a:srcRect/>
            <a:stretch>
              <a:fillRect/>
            </a:stretch>
          </xdr:blipFill>
          <xdr:spPr bwMode="auto">
            <a:xfrm>
              <a:off x="929640" y="1562100"/>
              <a:ext cx="4304830" cy="6705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335280</xdr:colOff>
      <xdr:row>12</xdr:row>
      <xdr:rowOff>137160</xdr:rowOff>
    </xdr:from>
    <xdr:to>
      <xdr:col>8</xdr:col>
      <xdr:colOff>281940</xdr:colOff>
      <xdr:row>23</xdr:row>
      <xdr:rowOff>91440</xdr:rowOff>
    </xdr:to>
    <xdr:graphicFrame macro="">
      <xdr:nvGraphicFramePr>
        <xdr:cNvPr id="22" name="Chart 21">
          <a:extLst>
            <a:ext uri="{FF2B5EF4-FFF2-40B4-BE49-F238E27FC236}">
              <a16:creationId xmlns:a16="http://schemas.microsoft.com/office/drawing/2014/main" id="{EFBEB98C-B79A-4208-8CC5-15AA576C2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472440</xdr:colOff>
      <xdr:row>0</xdr:row>
      <xdr:rowOff>99060</xdr:rowOff>
    </xdr:from>
    <xdr:to>
      <xdr:col>11</xdr:col>
      <xdr:colOff>533400</xdr:colOff>
      <xdr:row>8</xdr:row>
      <xdr:rowOff>160020</xdr:rowOff>
    </xdr:to>
    <xdr:graphicFrame macro="">
      <xdr:nvGraphicFramePr>
        <xdr:cNvPr id="28" name="Chart 27">
          <a:extLst>
            <a:ext uri="{FF2B5EF4-FFF2-40B4-BE49-F238E27FC236}">
              <a16:creationId xmlns:a16="http://schemas.microsoft.com/office/drawing/2014/main" id="{B084B501-C318-4309-9BF8-C907E081D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68580</xdr:colOff>
      <xdr:row>0</xdr:row>
      <xdr:rowOff>76200</xdr:rowOff>
    </xdr:from>
    <xdr:to>
      <xdr:col>14</xdr:col>
      <xdr:colOff>579120</xdr:colOff>
      <xdr:row>9</xdr:row>
      <xdr:rowOff>7620</xdr:rowOff>
    </xdr:to>
    <xdr:graphicFrame macro="">
      <xdr:nvGraphicFramePr>
        <xdr:cNvPr id="36" name="Chart 35">
          <a:extLst>
            <a:ext uri="{FF2B5EF4-FFF2-40B4-BE49-F238E27FC236}">
              <a16:creationId xmlns:a16="http://schemas.microsoft.com/office/drawing/2014/main" id="{3022F369-7ADA-4065-96E1-8E81AC6BF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86978</xdr:colOff>
      <xdr:row>8</xdr:row>
      <xdr:rowOff>23104</xdr:rowOff>
    </xdr:from>
    <xdr:to>
      <xdr:col>11</xdr:col>
      <xdr:colOff>327660</xdr:colOff>
      <xdr:row>9</xdr:row>
      <xdr:rowOff>15240</xdr:rowOff>
    </xdr:to>
    <xdr:sp macro="" textlink="">
      <xdr:nvSpPr>
        <xdr:cNvPr id="38" name="TextBox 37">
          <a:extLst>
            <a:ext uri="{FF2B5EF4-FFF2-40B4-BE49-F238E27FC236}">
              <a16:creationId xmlns:a16="http://schemas.microsoft.com/office/drawing/2014/main" id="{7982A1B6-981F-47CE-A763-BA43CA56804F}"/>
            </a:ext>
          </a:extLst>
        </xdr:cNvPr>
        <xdr:cNvSpPr txBox="1"/>
      </xdr:nvSpPr>
      <xdr:spPr>
        <a:xfrm>
          <a:off x="5573378" y="1486144"/>
          <a:ext cx="1459882" cy="175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Patient</a:t>
          </a:r>
          <a:r>
            <a:rPr lang="en-IN" sz="1000" b="1" baseline="0"/>
            <a:t> Atended Status</a:t>
          </a:r>
          <a:endParaRPr lang="en-IN" sz="1000" b="1"/>
        </a:p>
      </xdr:txBody>
    </xdr:sp>
    <xdr:clientData/>
  </xdr:twoCellAnchor>
  <xdr:twoCellAnchor editAs="absolute">
    <xdr:from>
      <xdr:col>12</xdr:col>
      <xdr:colOff>186038</xdr:colOff>
      <xdr:row>8</xdr:row>
      <xdr:rowOff>15484</xdr:rowOff>
    </xdr:from>
    <xdr:to>
      <xdr:col>14</xdr:col>
      <xdr:colOff>426720</xdr:colOff>
      <xdr:row>9</xdr:row>
      <xdr:rowOff>7620</xdr:rowOff>
    </xdr:to>
    <xdr:sp macro="" textlink="">
      <xdr:nvSpPr>
        <xdr:cNvPr id="40" name="TextBox 39">
          <a:extLst>
            <a:ext uri="{FF2B5EF4-FFF2-40B4-BE49-F238E27FC236}">
              <a16:creationId xmlns:a16="http://schemas.microsoft.com/office/drawing/2014/main" id="{7D9C679F-9BA7-4AF5-8006-27B6AFB8E7D7}"/>
            </a:ext>
          </a:extLst>
        </xdr:cNvPr>
        <xdr:cNvSpPr txBox="1"/>
      </xdr:nvSpPr>
      <xdr:spPr>
        <a:xfrm>
          <a:off x="7501238" y="1478524"/>
          <a:ext cx="1459882" cy="175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Gender</a:t>
          </a:r>
          <a:r>
            <a:rPr lang="en-IN" sz="1000" b="1" baseline="0"/>
            <a:t> wise Analysis</a:t>
          </a:r>
          <a:endParaRPr lang="en-IN" sz="1000" b="1"/>
        </a:p>
      </xdr:txBody>
    </xdr:sp>
    <xdr:clientData/>
  </xdr:twoCellAnchor>
  <xdr:twoCellAnchor editAs="absolute">
    <xdr:from>
      <xdr:col>3</xdr:col>
      <xdr:colOff>495300</xdr:colOff>
      <xdr:row>22</xdr:row>
      <xdr:rowOff>129540</xdr:rowOff>
    </xdr:from>
    <xdr:to>
      <xdr:col>6</xdr:col>
      <xdr:colOff>126382</xdr:colOff>
      <xdr:row>23</xdr:row>
      <xdr:rowOff>121676</xdr:rowOff>
    </xdr:to>
    <xdr:sp macro="" textlink="">
      <xdr:nvSpPr>
        <xdr:cNvPr id="43" name="TextBox 42">
          <a:extLst>
            <a:ext uri="{FF2B5EF4-FFF2-40B4-BE49-F238E27FC236}">
              <a16:creationId xmlns:a16="http://schemas.microsoft.com/office/drawing/2014/main" id="{9A283CE3-86CB-400D-A9FA-D61DB3BF1420}"/>
            </a:ext>
          </a:extLst>
        </xdr:cNvPr>
        <xdr:cNvSpPr txBox="1"/>
      </xdr:nvSpPr>
      <xdr:spPr>
        <a:xfrm>
          <a:off x="2324100" y="4152900"/>
          <a:ext cx="1459882" cy="175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No</a:t>
          </a:r>
          <a:r>
            <a:rPr lang="en-IN" sz="1000" b="1" baseline="0"/>
            <a:t> of </a:t>
          </a:r>
          <a:r>
            <a:rPr lang="en-IN" sz="1000" b="1"/>
            <a:t>Patient</a:t>
          </a:r>
          <a:r>
            <a:rPr lang="en-IN" sz="1000" b="1" baseline="0"/>
            <a:t> by Age Group</a:t>
          </a:r>
          <a:endParaRPr lang="en-IN" sz="1000" b="1"/>
        </a:p>
      </xdr:txBody>
    </xdr:sp>
    <xdr:clientData/>
  </xdr:twoCellAnchor>
  <xdr:twoCellAnchor>
    <xdr:from>
      <xdr:col>8</xdr:col>
      <xdr:colOff>525780</xdr:colOff>
      <xdr:row>10</xdr:row>
      <xdr:rowOff>91440</xdr:rowOff>
    </xdr:from>
    <xdr:to>
      <xdr:col>14</xdr:col>
      <xdr:colOff>495300</xdr:colOff>
      <xdr:row>23</xdr:row>
      <xdr:rowOff>83820</xdr:rowOff>
    </xdr:to>
    <xdr:graphicFrame macro="">
      <xdr:nvGraphicFramePr>
        <xdr:cNvPr id="44" name="Chart 43">
          <a:extLst>
            <a:ext uri="{FF2B5EF4-FFF2-40B4-BE49-F238E27FC236}">
              <a16:creationId xmlns:a16="http://schemas.microsoft.com/office/drawing/2014/main" id="{EEDEE000-98D9-4B48-ABF0-E5E03968E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601980</xdr:colOff>
      <xdr:row>22</xdr:row>
      <xdr:rowOff>121920</xdr:rowOff>
    </xdr:from>
    <xdr:to>
      <xdr:col>13</xdr:col>
      <xdr:colOff>441960</xdr:colOff>
      <xdr:row>23</xdr:row>
      <xdr:rowOff>121920</xdr:rowOff>
    </xdr:to>
    <xdr:sp macro="" textlink="">
      <xdr:nvSpPr>
        <xdr:cNvPr id="45" name="TextBox 44">
          <a:extLst>
            <a:ext uri="{FF2B5EF4-FFF2-40B4-BE49-F238E27FC236}">
              <a16:creationId xmlns:a16="http://schemas.microsoft.com/office/drawing/2014/main" id="{9579394E-C541-46E8-84E6-AB8973FEEFC8}"/>
            </a:ext>
          </a:extLst>
        </xdr:cNvPr>
        <xdr:cNvSpPr txBox="1"/>
      </xdr:nvSpPr>
      <xdr:spPr>
        <a:xfrm>
          <a:off x="6088380" y="4145280"/>
          <a:ext cx="22783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No</a:t>
          </a:r>
          <a:r>
            <a:rPr lang="en-IN" sz="1000" b="1" baseline="0"/>
            <a:t> of </a:t>
          </a:r>
          <a:r>
            <a:rPr lang="en-IN" sz="1000" b="1"/>
            <a:t>Patient</a:t>
          </a:r>
          <a:r>
            <a:rPr lang="en-IN" sz="1000" b="1" baseline="0"/>
            <a:t> by Department Refferal</a:t>
          </a:r>
        </a:p>
        <a:p>
          <a:pPr algn="ctr"/>
          <a:endParaRPr lang="en-IN" sz="1000" b="1"/>
        </a:p>
      </xdr:txBody>
    </xdr:sp>
    <xdr:clientData/>
  </xdr:twoCellAnchor>
  <xdr:twoCellAnchor editAs="oneCell">
    <xdr:from>
      <xdr:col>6</xdr:col>
      <xdr:colOff>106680</xdr:colOff>
      <xdr:row>1</xdr:row>
      <xdr:rowOff>7620</xdr:rowOff>
    </xdr:from>
    <xdr:to>
      <xdr:col>8</xdr:col>
      <xdr:colOff>327660</xdr:colOff>
      <xdr:row>3</xdr:row>
      <xdr:rowOff>83820</xdr:rowOff>
    </xdr:to>
    <mc:AlternateContent xmlns:mc="http://schemas.openxmlformats.org/markup-compatibility/2006" xmlns:a14="http://schemas.microsoft.com/office/drawing/2010/main">
      <mc:Choice Requires="a14">
        <xdr:graphicFrame macro="">
          <xdr:nvGraphicFramePr>
            <xdr:cNvPr id="46" name="Date (Year)">
              <a:extLst>
                <a:ext uri="{FF2B5EF4-FFF2-40B4-BE49-F238E27FC236}">
                  <a16:creationId xmlns:a16="http://schemas.microsoft.com/office/drawing/2014/main" id="{C74D146B-4C90-479A-A898-A2BD0001A76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64280" y="190500"/>
              <a:ext cx="1440180" cy="441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320040</xdr:colOff>
          <xdr:row>8</xdr:row>
          <xdr:rowOff>99060</xdr:rowOff>
        </xdr:from>
        <xdr:to>
          <xdr:col>8</xdr:col>
          <xdr:colOff>358140</xdr:colOff>
          <xdr:row>12</xdr:row>
          <xdr:rowOff>38100</xdr:rowOff>
        </xdr:to>
        <xdr:pic>
          <xdr:nvPicPr>
            <xdr:cNvPr id="1072" name="Picture 19">
              <a:extLst>
                <a:ext uri="{FF2B5EF4-FFF2-40B4-BE49-F238E27FC236}">
                  <a16:creationId xmlns:a16="http://schemas.microsoft.com/office/drawing/2014/main" id="{D935DF9F-1D8A-21D5-2C65-878B8DF73177}"/>
                </a:ext>
              </a:extLst>
            </xdr:cNvPr>
            <xdr:cNvPicPr>
              <a:picLocks noChangeAspect="1" noChangeArrowheads="1"/>
              <a:extLst>
                <a:ext uri="{84589F7E-364E-4C9E-8A38-B11213B215E9}">
                  <a14:cameraTool cellRange="'Pivot Report'!$A$23:$F$25" spid="_x0000_s1125"/>
                </a:ext>
              </a:extLst>
            </xdr:cNvPicPr>
          </xdr:nvPicPr>
          <xdr:blipFill>
            <a:blip xmlns:r="http://schemas.openxmlformats.org/officeDocument/2006/relationships" r:embed="rId14"/>
            <a:srcRect/>
            <a:stretch>
              <a:fillRect/>
            </a:stretch>
          </xdr:blipFill>
          <xdr:spPr bwMode="auto">
            <a:xfrm>
              <a:off x="929640" y="1562100"/>
              <a:ext cx="4305300" cy="6705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30480</xdr:rowOff>
    </xdr:from>
    <xdr:to>
      <xdr:col>13</xdr:col>
      <xdr:colOff>548640</xdr:colOff>
      <xdr:row>16</xdr:row>
      <xdr:rowOff>99060</xdr:rowOff>
    </xdr:to>
    <xdr:graphicFrame macro="">
      <xdr:nvGraphicFramePr>
        <xdr:cNvPr id="2" name="Chart 1">
          <a:extLst>
            <a:ext uri="{FF2B5EF4-FFF2-40B4-BE49-F238E27FC236}">
              <a16:creationId xmlns:a16="http://schemas.microsoft.com/office/drawing/2014/main" id="{0DEBB847-4544-4B62-8CFA-2D5E451A5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175260</xdr:colOff>
      <xdr:row>0</xdr:row>
      <xdr:rowOff>0</xdr:rowOff>
    </xdr:from>
    <xdr:to>
      <xdr:col>13</xdr:col>
      <xdr:colOff>548640</xdr:colOff>
      <xdr:row>2</xdr:row>
      <xdr:rowOff>7620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AFD29C8-BEAC-CF1D-150D-3F96BA7940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00060" y="0"/>
          <a:ext cx="373380" cy="373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48490</xdr:colOff>
      <xdr:row>0</xdr:row>
      <xdr:rowOff>48491</xdr:rowOff>
    </xdr:from>
    <xdr:to>
      <xdr:col>16</xdr:col>
      <xdr:colOff>214746</xdr:colOff>
      <xdr:row>21</xdr:row>
      <xdr:rowOff>41564</xdr:rowOff>
    </xdr:to>
    <xdr:graphicFrame macro="">
      <xdr:nvGraphicFramePr>
        <xdr:cNvPr id="2" name="Chart 1">
          <a:extLst>
            <a:ext uri="{FF2B5EF4-FFF2-40B4-BE49-F238E27FC236}">
              <a16:creationId xmlns:a16="http://schemas.microsoft.com/office/drawing/2014/main" id="{8CBF1C9E-80D0-4C9C-A009-92BA97A59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354164</xdr:colOff>
      <xdr:row>0</xdr:row>
      <xdr:rowOff>21866</xdr:rowOff>
    </xdr:from>
    <xdr:to>
      <xdr:col>16</xdr:col>
      <xdr:colOff>186524</xdr:colOff>
      <xdr:row>2</xdr:row>
      <xdr:rowOff>98066</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DA83E41-B055-BEE6-9A23-3567693856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98164" y="21866"/>
          <a:ext cx="441960" cy="4472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68580</xdr:colOff>
      <xdr:row>0</xdr:row>
      <xdr:rowOff>68580</xdr:rowOff>
    </xdr:from>
    <xdr:to>
      <xdr:col>11</xdr:col>
      <xdr:colOff>601980</xdr:colOff>
      <xdr:row>15</xdr:row>
      <xdr:rowOff>68580</xdr:rowOff>
    </xdr:to>
    <xdr:graphicFrame macro="">
      <xdr:nvGraphicFramePr>
        <xdr:cNvPr id="2" name="Chart 1">
          <a:extLst>
            <a:ext uri="{FF2B5EF4-FFF2-40B4-BE49-F238E27FC236}">
              <a16:creationId xmlns:a16="http://schemas.microsoft.com/office/drawing/2014/main" id="{8983B1E5-9D76-4E87-97AD-9D7A02884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288471</xdr:colOff>
      <xdr:row>0</xdr:row>
      <xdr:rowOff>48986</xdr:rowOff>
    </xdr:from>
    <xdr:to>
      <xdr:col>11</xdr:col>
      <xdr:colOff>604157</xdr:colOff>
      <xdr:row>1</xdr:row>
      <xdr:rowOff>179615</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F466415-CFFA-7BE5-61AF-FFB00B428F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94071" y="48986"/>
          <a:ext cx="315686" cy="31568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1504633" createdVersion="5" refreshedVersion="8" minRefreshableVersion="3" recordCount="0" supportSubquery="1" supportAdvancedDrill="1" xr:uid="{7C7F4B73-BD4A-4DC4-8A6E-A3A4EA07C9E1}">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1851849" createdVersion="5" refreshedVersion="8" minRefreshableVersion="3" recordCount="0" supportSubquery="1" supportAdvancedDrill="1" xr:uid="{C031D6CD-E36E-4F02-BA22-C5834A5EBF70}">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2199072" createdVersion="5" refreshedVersion="8" minRefreshableVersion="3" recordCount="0" supportSubquery="1" supportAdvancedDrill="1" xr:uid="{DC4F1271-761B-493E-81AB-751743F5BC87}">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2430557" createdVersion="5" refreshedVersion="8" minRefreshableVersion="3" recordCount="0" supportSubquery="1" supportAdvancedDrill="1" xr:uid="{62CD92C0-8F45-4C2E-85AF-7A1DFAF9FEE5}">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3125003" createdVersion="5" refreshedVersion="8" minRefreshableVersion="3" recordCount="0" supportSubquery="1" supportAdvancedDrill="1" xr:uid="{824027E0-D465-4B57-9822-E94177F20E8F}">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3935188" createdVersion="5" refreshedVersion="8" minRefreshableVersion="3" recordCount="0" supportSubquery="1" supportAdvancedDrill="1" xr:uid="{0BE0394A-80DC-4E85-B0E2-71696F14C160}">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4629628" createdVersion="5" refreshedVersion="8" minRefreshableVersion="3" recordCount="0" supportSubquery="1" supportAdvancedDrill="1" xr:uid="{30F44C2C-959D-4259-B394-5032199E1F77}">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5439813" createdVersion="5" refreshedVersion="8" minRefreshableVersion="3" recordCount="0" supportSubquery="1" supportAdvancedDrill="1" xr:uid="{936F5BDD-C6C4-4171-AA6D-E4ABE65D7EB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6134259" createdVersion="5" refreshedVersion="8" minRefreshableVersion="3" recordCount="0" supportSubquery="1" supportAdvancedDrill="1" xr:uid="{CADAEE74-3EA1-447D-A79A-2505EAB26027}">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6828706" createdVersion="5" refreshedVersion="8" minRefreshableVersion="3" recordCount="0" supportSubquery="1" supportAdvancedDrill="1" xr:uid="{F89C3FEE-A514-489A-A5AF-99B66195AA0B}">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7638891" createdVersion="5" refreshedVersion="8" minRefreshableVersion="3" recordCount="0" supportSubquery="1" supportAdvancedDrill="1" xr:uid="{67C74E86-C177-4BBB-AEA3-5BEBB72BF8CA}">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3630833333" createdVersion="5" refreshedVersion="8" minRefreshableVersion="3" recordCount="0" supportSubquery="1" supportAdvancedDrill="1" xr:uid="{6ED7EA1C-8452-40E1-AF14-A22765490F12}">
  <cacheSource type="external" connectionId="3"/>
  <cacheFields count="4">
    <cacheField name="[Calender_Table].[Date (Month)].[Date (Month)]" caption="Date (Month)" numFmtId="0" hierarchy="1" level="1">
      <sharedItems count="1">
        <s v="Aug"/>
      </sharedItems>
    </cacheField>
    <cacheField name="[Calende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er_Table].[Date (Quarter)].[Date (Quarter)]" caption="Date (Quarter)" numFmtId="0" hierarchy="4" level="1">
      <sharedItems count="1">
        <s v="Qtr3"/>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05127546299" createdVersion="3" refreshedVersion="8" minRefreshableVersion="3" recordCount="0" supportSubquery="1" supportAdvancedDrill="1" xr:uid="{D24745F9-7812-4845-BCA3-2556D392578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8694744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dt" refreshedDate="46041.906601736111" createdVersion="3" refreshedVersion="8" minRefreshableVersion="3" recordCount="0" supportSubquery="1" supportAdvancedDrill="1" xr:uid="{A6204486-27B0-4D0D-BD6F-F3CA83A0892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892925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0F14D4-7060-459A-A140-7750059814CB}" name="PivotTable2" cacheId="2" applyNumberFormats="0" applyBorderFormats="0" applyFontFormats="0" applyPatternFormats="0" applyAlignmentFormats="0" applyWidthHeightFormats="1" dataCaption="Values" tag="43344c96-a2b7-42b2-8e64-e7f9076ffb77"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D82C2-DDA6-4EB7-9A87-DAAC8F0B4224}" name="PivotTable1" cacheId="1" applyNumberFormats="0" applyBorderFormats="0" applyFontFormats="0" applyPatternFormats="0" applyAlignmentFormats="0" applyWidthHeightFormats="1" dataCaption="Values" tag="c0e508eb-f275-44c8-8508-e03c781b82eb"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229E3C-4E2C-4EA2-AAF8-48C6383427B6}" name="PivotTable10" cacheId="9" applyNumberFormats="0" applyBorderFormats="0" applyFontFormats="0" applyPatternFormats="0" applyAlignmentFormats="0" applyWidthHeightFormats="1" dataCaption="Values" tag="08b23d36-5f91-4921-8b0e-abff94acf643" updatedVersion="8" minRefreshableVersion="3" subtotalHiddenItems="1" itemPrintTitles="1" createdVersion="5" indent="0" outline="1" outlineData="1" multipleFieldFilters="0" chartFormat="23">
  <location ref="A50:B53"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28502C-AE4E-4ECA-85EB-DC2219ACF93A}" name="PivotTable7" cacheId="6" applyNumberFormats="0" applyBorderFormats="0" applyFontFormats="0" applyPatternFormats="0" applyAlignmentFormats="0" applyWidthHeightFormats="1" dataCaption="Values" tag="08b23d36-5f91-4921-8b0e-abff94acf643" updatedVersion="8" minRefreshableVersion="3" subtotalHiddenItems="1" itemPrintTitles="1" createdVersion="5" indent="0" outline="1" outlineData="1" multipleFieldFilters="0" chartFormat="7">
  <location ref="A16:C1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8">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5C7FD7-D2C9-4FDA-A462-323778CC38EA}" name="PivotTable6" cacheId="5" applyNumberFormats="0" applyBorderFormats="0" applyFontFormats="0" applyPatternFormats="0" applyAlignmentFormats="0" applyWidthHeightFormats="1" dataCaption="Values" tag="8fca6bd0-e463-42cd-a11f-669788fb9236" updatedVersion="8" minRefreshableVersion="3" subtotalHiddenItems="1" itemPrintTitles="1" createdVersion="5" indent="0" outline="1" outlineData="1" multipleFieldFilters="0" chartFormat="25">
  <location ref="U4:V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5">
      <pivotArea outline="0" collapsedLevelsAreSubtotals="1" fieldPosition="0"/>
    </format>
    <format dxfId="4">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B4D1CE-D00C-48AA-9AA7-270DAC46B174}" name="PivotTable9" cacheId="8" applyNumberFormats="0" applyBorderFormats="0" applyFontFormats="0" applyPatternFormats="0" applyAlignmentFormats="0" applyWidthHeightFormats="1" dataCaption="Values" tag="08b23d36-5f91-4921-8b0e-abff94acf643" updatedVersion="8" minRefreshableVersion="3" subtotalHiddenItems="1" itemPrintTitles="1" createdVersion="5" indent="0" outline="1" outlineData="1" multipleFieldFilters="0" chartFormat="17">
  <location ref="A43:B4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86E6AC-7A14-4B82-8D66-D0D492FD7DC1}" name="PivotTable5" cacheId="4" applyNumberFormats="0" applyBorderFormats="0" applyFontFormats="0" applyPatternFormats="0" applyAlignmentFormats="0" applyWidthHeightFormats="1" dataCaption="Values" tag="8fca6bd0-e463-42cd-a11f-669788fb9236" updatedVersion="8" minRefreshableVersion="3" subtotalHiddenItems="1" itemPrintTitles="1" createdVersion="5" indent="0" outline="1" outlineData="1" multipleFieldFilters="0" chartFormat="20">
  <location ref="Q4:R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164"/>
  </dataFields>
  <formats count="2">
    <format dxfId="8">
      <pivotArea outline="0" collapsedLevelsAreSubtotals="1" fieldPosition="0"/>
    </format>
    <format dxfId="7">
      <pivotArea collapsedLevelsAreSubtotals="1" fieldPosition="0">
        <references count="1">
          <reference field="0" count="0"/>
        </references>
      </pivotArea>
    </format>
  </formats>
  <chartFormats count="2">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B3E02C-CD00-44E1-8946-9E4DD64BB70E}" name="PivotTable8" cacheId="7" applyNumberFormats="0" applyBorderFormats="0" applyFontFormats="0" applyPatternFormats="0" applyAlignmentFormats="0" applyWidthHeightFormats="1" dataCaption="Values" tag="08b23d36-5f91-4921-8b0e-abff94acf643" updatedVersion="8" minRefreshableVersion="3" subtotalHiddenItems="1" itemPrintTitles="1" createdVersion="5" indent="0" outline="1" outlineData="1" multipleFieldFilters="0" chartFormat="9">
  <location ref="A30:B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0">
      <pivotArea outline="0" collapsedLevelsAreSubtotals="1" fieldPosition="0"/>
    </format>
    <format dxfId="9">
      <pivotArea collapsedLevelsAreSubtotals="1" fieldPosition="0">
        <references count="1">
          <reference field="1"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179A3B-AEF0-4A06-A8CC-9977FF95BD6A}" name="PivotTable3" cacheId="3" applyNumberFormats="0" applyBorderFormats="0" applyFontFormats="0" applyPatternFormats="0" applyAlignmentFormats="0" applyWidthHeightFormats="1" dataCaption="Values" tag="08b23d36-5f91-4921-8b0e-abff94acf643"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A68DE1-A700-4EC0-94C4-D056DFDFD60B}" name="PivotTable4" cacheId="0" applyNumberFormats="0" applyBorderFormats="0" applyFontFormats="0" applyPatternFormats="0" applyAlignmentFormats="0" applyWidthHeightFormats="1" dataCaption="Values" tag="8fca6bd0-e463-42cd-a11f-669788fb9236" updatedVersion="8" minRefreshableVersion="3" subtotalHiddenItems="1" itemPrintTitles="1" createdVersion="5" indent="0" outline="1" outlineData="1" multipleFieldFilters="0" chartFormat="12">
  <location ref="M4:N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CCBB74-3B99-425A-9EDF-9BD01DE690B4}" name="PivotTable12" cacheId="11" applyNumberFormats="0" applyBorderFormats="0" applyFontFormats="0" applyPatternFormats="0" applyAlignmentFormats="0" applyWidthHeightFormats="1" dataCaption="Values" tag="08b23d36-5f91-4921-8b0e-abff94acf643" updatedVersion="8" minRefreshableVersion="3" subtotalHiddenItems="1" itemPrintTitles="1" createdVersion="5" indent="0" outline="1" outlineData="1" multipleFieldFilters="0" chartFormat="23">
  <location ref="A69:A7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2">
      <pivotArea outline="0" collapsedLevelsAreSubtotals="1" fieldPosition="0"/>
    </format>
  </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373A8B-023A-4EB1-A25F-A6A284CFC630}" name="PivotTable11" cacheId="10" applyNumberFormats="0" applyBorderFormats="0" applyFontFormats="0" applyPatternFormats="0" applyAlignmentFormats="0" applyWidthHeightFormats="1" dataCaption="Values" tag="08b23d36-5f91-4921-8b0e-abff94acf643" updatedVersion="8" minRefreshableVersion="3" subtotalHiddenItems="1" itemPrintTitles="1" createdVersion="5" indent="0" outline="1" outlineData="1" multipleFieldFilters="0" chartFormat="26">
  <location ref="A57:B6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2">
    <format dxfId="14">
      <pivotArea outline="0" collapsedLevelsAreSubtotals="1" fieldPosition="0"/>
    </format>
    <format dxfId="13">
      <pivotArea collapsedLevelsAreSubtotals="1" fieldPosition="0">
        <references count="1">
          <reference field="1" count="0"/>
        </references>
      </pivotArea>
    </format>
  </formats>
  <chartFormats count="1">
    <chartFormat chart="2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Apr]"/>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0BA47C2-364B-4E1A-B151-356B8F24CF73}"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586947444">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23D839E-8A83-4577-BB34-0E6E7B9F6743}"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8929256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C3DB5AF-B6DB-4132-8DF3-246988E30CFD}" cache="Slicer_Date__Month" caption="Date (Month)" showCaption="0" level="1" style="My Style" rowHeight="247650"/>
  <slicer name="Date (Year)" xr10:uid="{91FD7291-26EC-4C5D-8F7D-C417F9A84525}" cache="Slicer_Date__Year" caption="Date (Year)" columnCount="2"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17BE1-0863-4DDE-9E78-7E5CC0F9D285}">
  <dimension ref="A3:V71"/>
  <sheetViews>
    <sheetView showGridLines="0" topLeftCell="A5" workbookViewId="0">
      <selection activeCell="J32" sqref="J32"/>
    </sheetView>
  </sheetViews>
  <sheetFormatPr defaultRowHeight="14.4" x14ac:dyDescent="0.3"/>
  <cols>
    <col min="1" max="1" width="15.44140625" customWidth="1"/>
    <col min="2" max="2" width="11.88671875" customWidth="1"/>
    <col min="5" max="5" width="8.88671875" customWidth="1"/>
    <col min="6" max="6" width="3.6640625" customWidth="1"/>
    <col min="13" max="14" width="23.33203125" bestFit="1" customWidth="1"/>
    <col min="17" max="17" width="15.109375" bestFit="1" customWidth="1"/>
    <col min="18" max="18" width="23.33203125" bestFit="1" customWidth="1"/>
    <col min="22" max="22" width="24.21875" bestFit="1" customWidth="1"/>
  </cols>
  <sheetData>
    <row r="3" spans="1:22" x14ac:dyDescent="0.3">
      <c r="A3" t="s">
        <v>1</v>
      </c>
      <c r="M3" t="s">
        <v>7</v>
      </c>
      <c r="Q3" t="s">
        <v>8</v>
      </c>
    </row>
    <row r="4" spans="1:22" x14ac:dyDescent="0.3">
      <c r="A4" t="s">
        <v>0</v>
      </c>
      <c r="M4" s="3" t="s">
        <v>4</v>
      </c>
      <c r="N4" t="s">
        <v>0</v>
      </c>
      <c r="Q4" s="3" t="s">
        <v>4</v>
      </c>
      <c r="R4" t="s">
        <v>2</v>
      </c>
      <c r="U4" s="3" t="s">
        <v>4</v>
      </c>
      <c r="V4" t="s">
        <v>3</v>
      </c>
    </row>
    <row r="5" spans="1:22" x14ac:dyDescent="0.3">
      <c r="A5">
        <v>479</v>
      </c>
      <c r="M5" s="4" t="s">
        <v>10</v>
      </c>
      <c r="N5">
        <v>19</v>
      </c>
      <c r="Q5" s="4" t="s">
        <v>10</v>
      </c>
      <c r="R5" s="1">
        <v>40.473684210526315</v>
      </c>
      <c r="U5" s="4" t="s">
        <v>10</v>
      </c>
      <c r="V5" s="7">
        <v>3.8</v>
      </c>
    </row>
    <row r="6" spans="1:22" x14ac:dyDescent="0.3">
      <c r="M6" s="4" t="s">
        <v>11</v>
      </c>
      <c r="N6">
        <v>13</v>
      </c>
      <c r="Q6" s="4" t="s">
        <v>11</v>
      </c>
      <c r="R6" s="1">
        <v>29.46153846153846</v>
      </c>
      <c r="U6" s="4" t="s">
        <v>11</v>
      </c>
      <c r="V6" s="7">
        <v>7.75</v>
      </c>
    </row>
    <row r="7" spans="1:22" x14ac:dyDescent="0.3">
      <c r="M7" s="4" t="s">
        <v>12</v>
      </c>
      <c r="N7">
        <v>14</v>
      </c>
      <c r="Q7" s="4" t="s">
        <v>12</v>
      </c>
      <c r="R7" s="1">
        <v>33.928571428571431</v>
      </c>
      <c r="U7" s="4" t="s">
        <v>12</v>
      </c>
      <c r="V7" s="7">
        <v>4.5999999999999996</v>
      </c>
    </row>
    <row r="8" spans="1:22" x14ac:dyDescent="0.3">
      <c r="A8" t="s">
        <v>2</v>
      </c>
      <c r="M8" s="4" t="s">
        <v>13</v>
      </c>
      <c r="N8">
        <v>9</v>
      </c>
      <c r="Q8" s="4" t="s">
        <v>13</v>
      </c>
      <c r="R8" s="1">
        <v>32.222222222222221</v>
      </c>
      <c r="U8" s="4" t="s">
        <v>13</v>
      </c>
      <c r="V8" s="7">
        <v>6</v>
      </c>
    </row>
    <row r="9" spans="1:22" x14ac:dyDescent="0.3">
      <c r="A9" s="1">
        <v>34.90187891440501</v>
      </c>
      <c r="M9" s="4" t="s">
        <v>14</v>
      </c>
      <c r="N9">
        <v>19</v>
      </c>
      <c r="Q9" s="4" t="s">
        <v>14</v>
      </c>
      <c r="R9" s="1">
        <v>35.736842105263158</v>
      </c>
      <c r="U9" s="4" t="s">
        <v>14</v>
      </c>
      <c r="V9" s="7">
        <v>5.5714285714285712</v>
      </c>
    </row>
    <row r="10" spans="1:22" x14ac:dyDescent="0.3">
      <c r="M10" s="4" t="s">
        <v>15</v>
      </c>
      <c r="N10">
        <v>14</v>
      </c>
      <c r="Q10" s="4" t="s">
        <v>15</v>
      </c>
      <c r="R10" s="1">
        <v>30.142857142857142</v>
      </c>
      <c r="U10" s="4" t="s">
        <v>15</v>
      </c>
      <c r="V10" s="7">
        <v>2</v>
      </c>
    </row>
    <row r="11" spans="1:22" x14ac:dyDescent="0.3">
      <c r="M11" s="4" t="s">
        <v>16</v>
      </c>
      <c r="N11">
        <v>11</v>
      </c>
      <c r="Q11" s="4" t="s">
        <v>16</v>
      </c>
      <c r="R11" s="1">
        <v>33.81818181818182</v>
      </c>
      <c r="U11" s="4" t="s">
        <v>16</v>
      </c>
      <c r="V11" s="7">
        <v>8</v>
      </c>
    </row>
    <row r="12" spans="1:22" x14ac:dyDescent="0.3">
      <c r="A12" t="s">
        <v>3</v>
      </c>
      <c r="M12" s="4" t="s">
        <v>17</v>
      </c>
      <c r="N12">
        <v>22</v>
      </c>
      <c r="Q12" s="4" t="s">
        <v>17</v>
      </c>
      <c r="R12" s="1">
        <v>31.681818181818183</v>
      </c>
      <c r="U12" s="4" t="s">
        <v>17</v>
      </c>
      <c r="V12" s="7">
        <v>8</v>
      </c>
    </row>
    <row r="13" spans="1:22" x14ac:dyDescent="0.3">
      <c r="A13" s="1">
        <v>5.3034482758620687</v>
      </c>
      <c r="M13" s="4" t="s">
        <v>18</v>
      </c>
      <c r="N13">
        <v>12</v>
      </c>
      <c r="Q13" s="4" t="s">
        <v>18</v>
      </c>
      <c r="R13" s="1">
        <v>36.416666666666664</v>
      </c>
      <c r="U13" s="4" t="s">
        <v>18</v>
      </c>
      <c r="V13" s="7">
        <v>5.25</v>
      </c>
    </row>
    <row r="14" spans="1:22" x14ac:dyDescent="0.3">
      <c r="M14" s="4" t="s">
        <v>19</v>
      </c>
      <c r="N14">
        <v>13</v>
      </c>
      <c r="Q14" s="4" t="s">
        <v>19</v>
      </c>
      <c r="R14" s="1">
        <v>33.692307692307693</v>
      </c>
      <c r="U14" s="4" t="s">
        <v>19</v>
      </c>
      <c r="V14" s="7">
        <v>6</v>
      </c>
    </row>
    <row r="15" spans="1:22" x14ac:dyDescent="0.3">
      <c r="M15" s="4" t="s">
        <v>20</v>
      </c>
      <c r="N15">
        <v>17</v>
      </c>
      <c r="Q15" s="4" t="s">
        <v>20</v>
      </c>
      <c r="R15" s="1">
        <v>39.117647058823529</v>
      </c>
      <c r="U15" s="4" t="s">
        <v>20</v>
      </c>
      <c r="V15" s="7">
        <v>6.5</v>
      </c>
    </row>
    <row r="16" spans="1:22" x14ac:dyDescent="0.3">
      <c r="A16" s="3" t="s">
        <v>4</v>
      </c>
      <c r="B16" t="s">
        <v>43</v>
      </c>
      <c r="C16" t="s">
        <v>44</v>
      </c>
      <c r="M16" s="4" t="s">
        <v>21</v>
      </c>
      <c r="N16">
        <v>30</v>
      </c>
      <c r="Q16" s="4" t="s">
        <v>21</v>
      </c>
      <c r="R16" s="1">
        <v>36.93333333333333</v>
      </c>
      <c r="U16" s="4" t="s">
        <v>21</v>
      </c>
      <c r="V16" s="7">
        <v>5.75</v>
      </c>
    </row>
    <row r="17" spans="1:22" x14ac:dyDescent="0.3">
      <c r="A17" s="4" t="s">
        <v>41</v>
      </c>
      <c r="B17" s="1">
        <v>237</v>
      </c>
      <c r="C17" s="8">
        <v>0.49478079331941544</v>
      </c>
      <c r="D17" s="8"/>
      <c r="E17" s="8"/>
      <c r="F17" s="8"/>
      <c r="G17" s="8"/>
      <c r="H17" s="8"/>
      <c r="I17" s="8"/>
      <c r="J17" s="8"/>
      <c r="K17" s="8"/>
      <c r="M17" s="4" t="s">
        <v>22</v>
      </c>
      <c r="N17">
        <v>13</v>
      </c>
      <c r="Q17" s="4" t="s">
        <v>22</v>
      </c>
      <c r="R17" s="1">
        <v>29.923076923076923</v>
      </c>
      <c r="U17" s="4" t="s">
        <v>22</v>
      </c>
      <c r="V17" s="7">
        <v>5.6</v>
      </c>
    </row>
    <row r="18" spans="1:22" x14ac:dyDescent="0.3">
      <c r="A18" s="4" t="s">
        <v>42</v>
      </c>
      <c r="B18" s="1">
        <v>242</v>
      </c>
      <c r="C18" s="8">
        <v>0.50521920668058451</v>
      </c>
      <c r="D18" s="8"/>
      <c r="E18" s="8"/>
      <c r="F18" s="8"/>
      <c r="G18" s="8"/>
      <c r="H18" s="8"/>
      <c r="I18" s="8"/>
      <c r="J18" s="8"/>
      <c r="K18" s="8"/>
      <c r="M18" s="4" t="s">
        <v>23</v>
      </c>
      <c r="N18">
        <v>21</v>
      </c>
      <c r="Q18" s="4" t="s">
        <v>23</v>
      </c>
      <c r="R18" s="1">
        <v>31.666666666666668</v>
      </c>
      <c r="U18" s="4" t="s">
        <v>23</v>
      </c>
      <c r="V18" s="7">
        <v>6.5</v>
      </c>
    </row>
    <row r="19" spans="1:22" x14ac:dyDescent="0.3">
      <c r="A19" s="4" t="s">
        <v>5</v>
      </c>
      <c r="B19" s="1">
        <v>479</v>
      </c>
      <c r="C19" s="8">
        <v>1</v>
      </c>
      <c r="D19" s="8"/>
      <c r="E19" s="8"/>
      <c r="F19" s="8"/>
      <c r="G19" s="8"/>
      <c r="H19" s="8"/>
      <c r="I19" s="8"/>
      <c r="J19" s="8"/>
      <c r="K19" s="8"/>
      <c r="M19" s="4" t="s">
        <v>24</v>
      </c>
      <c r="N19">
        <v>12</v>
      </c>
      <c r="Q19" s="4" t="s">
        <v>24</v>
      </c>
      <c r="R19" s="1">
        <v>40.25</v>
      </c>
      <c r="U19" s="4" t="s">
        <v>24</v>
      </c>
      <c r="V19" s="7">
        <v>5.666666666666667</v>
      </c>
    </row>
    <row r="20" spans="1:22" x14ac:dyDescent="0.3">
      <c r="M20" s="4" t="s">
        <v>25</v>
      </c>
      <c r="N20">
        <v>17</v>
      </c>
      <c r="Q20" s="4" t="s">
        <v>25</v>
      </c>
      <c r="R20" s="1">
        <v>30</v>
      </c>
      <c r="U20" s="4" t="s">
        <v>25</v>
      </c>
      <c r="V20" s="7">
        <v>5.666666666666667</v>
      </c>
    </row>
    <row r="21" spans="1:22" x14ac:dyDescent="0.3">
      <c r="M21" s="4" t="s">
        <v>26</v>
      </c>
      <c r="N21">
        <v>16</v>
      </c>
      <c r="Q21" s="4" t="s">
        <v>26</v>
      </c>
      <c r="R21" s="1">
        <v>35</v>
      </c>
      <c r="U21" s="4" t="s">
        <v>26</v>
      </c>
      <c r="V21" s="7">
        <v>5.8</v>
      </c>
    </row>
    <row r="22" spans="1:22" x14ac:dyDescent="0.3">
      <c r="M22" s="4" t="s">
        <v>27</v>
      </c>
      <c r="N22">
        <v>20</v>
      </c>
      <c r="Q22" s="4" t="s">
        <v>27</v>
      </c>
      <c r="R22" s="1">
        <v>41.85</v>
      </c>
      <c r="U22" s="4" t="s">
        <v>27</v>
      </c>
      <c r="V22" s="7">
        <v>4.666666666666667</v>
      </c>
    </row>
    <row r="23" spans="1:22" x14ac:dyDescent="0.3">
      <c r="A23" s="11" t="s">
        <v>45</v>
      </c>
      <c r="B23" s="11" t="s">
        <v>46</v>
      </c>
      <c r="C23" s="11" t="s">
        <v>47</v>
      </c>
      <c r="D23" s="10"/>
      <c r="E23" s="10"/>
      <c r="F23" s="10"/>
      <c r="M23" s="4" t="s">
        <v>28</v>
      </c>
      <c r="N23">
        <v>18</v>
      </c>
      <c r="Q23" s="4" t="s">
        <v>28</v>
      </c>
      <c r="R23" s="1">
        <v>33.277777777777779</v>
      </c>
      <c r="U23" s="4" t="s">
        <v>28</v>
      </c>
      <c r="V23" s="7">
        <v>4.833333333333333</v>
      </c>
    </row>
    <row r="24" spans="1:22" x14ac:dyDescent="0.3">
      <c r="A24" t="str">
        <f>A18</f>
        <v>Not Admitted</v>
      </c>
      <c r="B24">
        <f>B17</f>
        <v>237</v>
      </c>
      <c r="C24" s="9">
        <f>C17</f>
        <v>0.49478079331941544</v>
      </c>
      <c r="D24" s="9"/>
      <c r="E24" s="9"/>
      <c r="F24" s="9"/>
      <c r="G24" s="9"/>
      <c r="H24" s="9"/>
      <c r="I24" s="9"/>
      <c r="J24" s="9"/>
      <c r="K24" s="9"/>
      <c r="M24" s="4" t="s">
        <v>29</v>
      </c>
      <c r="N24">
        <v>16</v>
      </c>
      <c r="Q24" s="4" t="s">
        <v>29</v>
      </c>
      <c r="R24" s="1">
        <v>32.9375</v>
      </c>
      <c r="U24" s="4" t="s">
        <v>29</v>
      </c>
      <c r="V24" s="7">
        <v>2.3333333333333335</v>
      </c>
    </row>
    <row r="25" spans="1:22" ht="19.2" customHeight="1" x14ac:dyDescent="0.3">
      <c r="A25" t="str">
        <f>A17</f>
        <v>Admitted</v>
      </c>
      <c r="B25">
        <f>B18</f>
        <v>242</v>
      </c>
      <c r="C25" s="9">
        <f>C18</f>
        <v>0.50521920668058451</v>
      </c>
      <c r="D25" s="9"/>
      <c r="E25" s="9"/>
      <c r="F25" s="9"/>
      <c r="G25" s="9"/>
      <c r="H25" s="9"/>
      <c r="I25" s="9"/>
      <c r="J25" s="9"/>
      <c r="K25" s="9"/>
      <c r="M25" s="4" t="s">
        <v>30</v>
      </c>
      <c r="N25">
        <v>15</v>
      </c>
      <c r="Q25" s="4" t="s">
        <v>30</v>
      </c>
      <c r="R25" s="1">
        <v>33.266666666666666</v>
      </c>
      <c r="U25" s="4" t="s">
        <v>30</v>
      </c>
      <c r="V25" s="7">
        <v>4.5</v>
      </c>
    </row>
    <row r="26" spans="1:22" x14ac:dyDescent="0.3">
      <c r="M26" s="4" t="s">
        <v>31</v>
      </c>
      <c r="N26">
        <v>18</v>
      </c>
      <c r="Q26" s="4" t="s">
        <v>31</v>
      </c>
      <c r="R26" s="1">
        <v>34.444444444444443</v>
      </c>
      <c r="U26" s="4" t="s">
        <v>31</v>
      </c>
      <c r="V26" s="7">
        <v>6.666666666666667</v>
      </c>
    </row>
    <row r="27" spans="1:22" x14ac:dyDescent="0.3">
      <c r="A27" s="11" t="s">
        <v>45</v>
      </c>
      <c r="B27" s="11" t="s">
        <v>46</v>
      </c>
      <c r="C27" s="11" t="s">
        <v>47</v>
      </c>
      <c r="D27" s="10"/>
      <c r="E27" s="10"/>
      <c r="F27" s="10"/>
      <c r="M27" s="4" t="s">
        <v>32</v>
      </c>
      <c r="N27">
        <v>12</v>
      </c>
      <c r="Q27" s="4" t="s">
        <v>32</v>
      </c>
      <c r="R27" s="1">
        <v>43.416666666666664</v>
      </c>
      <c r="U27" s="4" t="s">
        <v>32</v>
      </c>
      <c r="V27" s="7">
        <v>7.5</v>
      </c>
    </row>
    <row r="28" spans="1:22" x14ac:dyDescent="0.3">
      <c r="A28">
        <f>A22</f>
        <v>0</v>
      </c>
      <c r="B28">
        <f>B21</f>
        <v>0</v>
      </c>
      <c r="C28" s="9">
        <f>C21</f>
        <v>0</v>
      </c>
      <c r="D28" s="9"/>
      <c r="E28" s="9"/>
      <c r="F28" s="9"/>
      <c r="M28" s="4" t="s">
        <v>33</v>
      </c>
      <c r="N28">
        <v>14</v>
      </c>
      <c r="Q28" s="4" t="s">
        <v>33</v>
      </c>
      <c r="R28" s="1">
        <v>36.357142857142854</v>
      </c>
      <c r="U28" s="4" t="s">
        <v>33</v>
      </c>
      <c r="V28" s="7">
        <v>5.2857142857142856</v>
      </c>
    </row>
    <row r="29" spans="1:22" x14ac:dyDescent="0.3">
      <c r="A29">
        <f>A21</f>
        <v>0</v>
      </c>
      <c r="B29">
        <f>B22</f>
        <v>0</v>
      </c>
      <c r="C29" s="9">
        <f>C22</f>
        <v>0</v>
      </c>
      <c r="D29" s="9"/>
      <c r="E29" s="9"/>
      <c r="F29" s="9"/>
      <c r="M29" s="4" t="s">
        <v>34</v>
      </c>
      <c r="N29">
        <v>18</v>
      </c>
      <c r="Q29" s="4" t="s">
        <v>34</v>
      </c>
      <c r="R29" s="1">
        <v>40.611111111111114</v>
      </c>
      <c r="U29" s="4" t="s">
        <v>34</v>
      </c>
      <c r="V29" s="7">
        <v>2.875</v>
      </c>
    </row>
    <row r="30" spans="1:22" x14ac:dyDescent="0.3">
      <c r="A30" s="3" t="s">
        <v>4</v>
      </c>
      <c r="B30" t="s">
        <v>56</v>
      </c>
      <c r="M30" s="4" t="s">
        <v>35</v>
      </c>
      <c r="N30">
        <v>16</v>
      </c>
      <c r="Q30" s="4" t="s">
        <v>35</v>
      </c>
      <c r="R30" s="1">
        <v>29.875</v>
      </c>
      <c r="U30" s="4" t="s">
        <v>35</v>
      </c>
      <c r="V30" s="7">
        <v>6.25</v>
      </c>
    </row>
    <row r="31" spans="1:22" x14ac:dyDescent="0.3">
      <c r="A31" s="4" t="s">
        <v>48</v>
      </c>
      <c r="B31" s="12">
        <v>70</v>
      </c>
      <c r="M31" s="4" t="s">
        <v>36</v>
      </c>
      <c r="N31">
        <v>16</v>
      </c>
      <c r="Q31" s="4" t="s">
        <v>36</v>
      </c>
      <c r="R31" s="1">
        <v>33.5</v>
      </c>
      <c r="U31" s="4" t="s">
        <v>36</v>
      </c>
      <c r="V31" s="7">
        <v>6.125</v>
      </c>
    </row>
    <row r="32" spans="1:22" x14ac:dyDescent="0.3">
      <c r="A32" s="4" t="s">
        <v>49</v>
      </c>
      <c r="B32" s="12">
        <v>67</v>
      </c>
      <c r="M32" s="4" t="s">
        <v>37</v>
      </c>
      <c r="N32">
        <v>16</v>
      </c>
      <c r="Q32" s="4" t="s">
        <v>37</v>
      </c>
      <c r="R32" s="1">
        <v>32.5625</v>
      </c>
      <c r="U32" s="4" t="s">
        <v>37</v>
      </c>
      <c r="V32" s="7">
        <v>5.75</v>
      </c>
    </row>
    <row r="33" spans="1:22" x14ac:dyDescent="0.3">
      <c r="A33" s="4" t="s">
        <v>50</v>
      </c>
      <c r="B33" s="12">
        <v>64</v>
      </c>
      <c r="M33" s="4" t="s">
        <v>38</v>
      </c>
      <c r="N33">
        <v>14</v>
      </c>
      <c r="Q33" s="4" t="s">
        <v>38</v>
      </c>
      <c r="R33" s="1">
        <v>38.571428571428569</v>
      </c>
      <c r="U33" s="4" t="s">
        <v>38</v>
      </c>
      <c r="V33" s="7">
        <v>5.375</v>
      </c>
    </row>
    <row r="34" spans="1:22" x14ac:dyDescent="0.3">
      <c r="A34" s="4" t="s">
        <v>51</v>
      </c>
      <c r="B34" s="12">
        <v>60</v>
      </c>
      <c r="M34" s="4" t="s">
        <v>39</v>
      </c>
      <c r="N34">
        <v>14</v>
      </c>
      <c r="Q34" s="4" t="s">
        <v>39</v>
      </c>
      <c r="R34" s="1">
        <v>32.714285714285715</v>
      </c>
      <c r="U34" s="4" t="s">
        <v>39</v>
      </c>
      <c r="V34" s="7">
        <v>5.6</v>
      </c>
    </row>
    <row r="35" spans="1:22" x14ac:dyDescent="0.3">
      <c r="A35" s="4" t="s">
        <v>52</v>
      </c>
      <c r="B35" s="12">
        <v>42</v>
      </c>
      <c r="M35" s="4" t="s">
        <v>5</v>
      </c>
      <c r="N35">
        <v>479</v>
      </c>
      <c r="Q35" s="4" t="s">
        <v>5</v>
      </c>
      <c r="R35" s="6">
        <v>34.90187891440501</v>
      </c>
      <c r="U35" s="4" t="s">
        <v>5</v>
      </c>
      <c r="V35" s="6">
        <v>5.3034482758620687</v>
      </c>
    </row>
    <row r="36" spans="1:22" x14ac:dyDescent="0.3">
      <c r="A36" s="4" t="s">
        <v>53</v>
      </c>
      <c r="B36" s="12">
        <v>53</v>
      </c>
    </row>
    <row r="37" spans="1:22" x14ac:dyDescent="0.3">
      <c r="A37" s="4" t="s">
        <v>54</v>
      </c>
      <c r="B37" s="12">
        <v>71</v>
      </c>
    </row>
    <row r="38" spans="1:22" x14ac:dyDescent="0.3">
      <c r="A38" s="4" t="s">
        <v>55</v>
      </c>
      <c r="B38" s="12">
        <v>52</v>
      </c>
    </row>
    <row r="39" spans="1:22" x14ac:dyDescent="0.3">
      <c r="A39" s="4" t="s">
        <v>5</v>
      </c>
      <c r="B39" s="1">
        <v>479</v>
      </c>
    </row>
    <row r="43" spans="1:22" x14ac:dyDescent="0.3">
      <c r="A43" s="3" t="s">
        <v>4</v>
      </c>
      <c r="B43" t="s">
        <v>59</v>
      </c>
    </row>
    <row r="44" spans="1:22" x14ac:dyDescent="0.3">
      <c r="A44" s="4" t="s">
        <v>57</v>
      </c>
      <c r="B44" s="1">
        <v>266</v>
      </c>
    </row>
    <row r="45" spans="1:22" x14ac:dyDescent="0.3">
      <c r="A45" s="4" t="s">
        <v>58</v>
      </c>
      <c r="B45" s="1">
        <v>213</v>
      </c>
    </row>
    <row r="46" spans="1:22" x14ac:dyDescent="0.3">
      <c r="A46" s="4" t="s">
        <v>5</v>
      </c>
      <c r="B46" s="1">
        <v>479</v>
      </c>
    </row>
    <row r="50" spans="1:2" x14ac:dyDescent="0.3">
      <c r="A50" s="3" t="s">
        <v>4</v>
      </c>
      <c r="B50" t="s">
        <v>62</v>
      </c>
    </row>
    <row r="51" spans="1:2" x14ac:dyDescent="0.3">
      <c r="A51" s="4" t="s">
        <v>60</v>
      </c>
      <c r="B51" s="1">
        <v>235</v>
      </c>
    </row>
    <row r="52" spans="1:2" x14ac:dyDescent="0.3">
      <c r="A52" s="4" t="s">
        <v>61</v>
      </c>
      <c r="B52" s="1">
        <v>244</v>
      </c>
    </row>
    <row r="53" spans="1:2" x14ac:dyDescent="0.3">
      <c r="A53" s="4" t="s">
        <v>5</v>
      </c>
      <c r="B53" s="1">
        <v>479</v>
      </c>
    </row>
    <row r="57" spans="1:2" x14ac:dyDescent="0.3">
      <c r="A57" s="3" t="s">
        <v>4</v>
      </c>
      <c r="B57" t="s">
        <v>71</v>
      </c>
    </row>
    <row r="58" spans="1:2" x14ac:dyDescent="0.3">
      <c r="A58" s="4" t="s">
        <v>70</v>
      </c>
      <c r="B58" s="12">
        <v>4</v>
      </c>
    </row>
    <row r="59" spans="1:2" x14ac:dyDescent="0.3">
      <c r="A59" s="4" t="s">
        <v>66</v>
      </c>
      <c r="B59" s="12">
        <v>11</v>
      </c>
    </row>
    <row r="60" spans="1:2" x14ac:dyDescent="0.3">
      <c r="A60" s="4" t="s">
        <v>69</v>
      </c>
      <c r="B60" s="12">
        <v>11</v>
      </c>
    </row>
    <row r="61" spans="1:2" x14ac:dyDescent="0.3">
      <c r="A61" s="4" t="s">
        <v>64</v>
      </c>
      <c r="B61" s="12">
        <v>12</v>
      </c>
    </row>
    <row r="62" spans="1:2" x14ac:dyDescent="0.3">
      <c r="A62" s="4" t="s">
        <v>63</v>
      </c>
      <c r="B62" s="12">
        <v>18</v>
      </c>
    </row>
    <row r="63" spans="1:2" x14ac:dyDescent="0.3">
      <c r="A63" s="4" t="s">
        <v>68</v>
      </c>
      <c r="B63" s="12">
        <v>45</v>
      </c>
    </row>
    <row r="64" spans="1:2" x14ac:dyDescent="0.3">
      <c r="A64" s="4" t="s">
        <v>65</v>
      </c>
      <c r="B64" s="12">
        <v>115</v>
      </c>
    </row>
    <row r="65" spans="1:2" x14ac:dyDescent="0.3">
      <c r="A65" s="4" t="s">
        <v>67</v>
      </c>
      <c r="B65" s="12">
        <v>263</v>
      </c>
    </row>
    <row r="66" spans="1:2" x14ac:dyDescent="0.3">
      <c r="A66" s="4" t="s">
        <v>5</v>
      </c>
      <c r="B66" s="1">
        <v>479</v>
      </c>
    </row>
    <row r="69" spans="1:2" x14ac:dyDescent="0.3">
      <c r="A69" s="3" t="s">
        <v>4</v>
      </c>
    </row>
    <row r="70" spans="1:2" x14ac:dyDescent="0.3">
      <c r="A70" s="4" t="s">
        <v>72</v>
      </c>
    </row>
    <row r="71" spans="1:2" x14ac:dyDescent="0.3">
      <c r="A71" s="4"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18FCD-AD21-43BF-9641-021900F321CD}">
  <dimension ref="A1:P24"/>
  <sheetViews>
    <sheetView tabSelected="1" workbookViewId="0"/>
  </sheetViews>
  <sheetFormatPr defaultRowHeight="14.4" x14ac:dyDescent="0.3"/>
  <cols>
    <col min="7" max="7" width="8.88671875" customWidth="1"/>
    <col min="16" max="16" width="1.5546875" customWidth="1"/>
  </cols>
  <sheetData>
    <row r="1" spans="1:16" x14ac:dyDescent="0.3">
      <c r="A1" s="2"/>
      <c r="B1" s="2"/>
      <c r="C1" s="2"/>
      <c r="D1" s="2"/>
      <c r="E1" s="2"/>
      <c r="F1" s="2"/>
      <c r="G1" s="2"/>
      <c r="H1" s="2"/>
      <c r="I1" s="2"/>
      <c r="J1" s="2"/>
      <c r="K1" s="2"/>
      <c r="L1" s="2"/>
      <c r="M1" s="2"/>
      <c r="N1" s="2"/>
      <c r="O1" s="2"/>
      <c r="P1" s="2"/>
    </row>
    <row r="2" spans="1:16" x14ac:dyDescent="0.3">
      <c r="A2" s="2"/>
      <c r="B2" s="2"/>
      <c r="C2" s="2"/>
      <c r="D2" s="2"/>
      <c r="E2" s="2"/>
      <c r="F2" s="2"/>
      <c r="G2" s="2"/>
      <c r="H2" s="2"/>
      <c r="I2" s="2"/>
      <c r="J2" s="2"/>
      <c r="K2" s="2"/>
      <c r="L2" s="2"/>
      <c r="M2" s="2"/>
      <c r="N2" s="2"/>
      <c r="O2" s="2"/>
      <c r="P2" s="2"/>
    </row>
    <row r="3" spans="1:16" x14ac:dyDescent="0.3">
      <c r="A3" s="2"/>
      <c r="B3" s="2"/>
      <c r="C3" s="2"/>
      <c r="D3" s="2"/>
      <c r="E3" s="2"/>
      <c r="F3" s="2"/>
      <c r="G3" s="2"/>
      <c r="H3" s="2"/>
      <c r="I3" s="2"/>
      <c r="J3" s="2"/>
      <c r="K3" s="2"/>
      <c r="L3" s="2"/>
      <c r="M3" s="2"/>
      <c r="N3" s="2"/>
      <c r="O3" s="2"/>
      <c r="P3" s="2"/>
    </row>
    <row r="4" spans="1:16" x14ac:dyDescent="0.3">
      <c r="A4" s="2"/>
      <c r="B4" s="2"/>
      <c r="C4" s="2"/>
      <c r="D4" s="2"/>
      <c r="E4" s="2"/>
      <c r="F4" s="2"/>
      <c r="G4" s="2"/>
      <c r="H4" s="2"/>
      <c r="I4" s="2"/>
      <c r="J4" s="2"/>
      <c r="K4" s="2"/>
      <c r="L4" s="2"/>
      <c r="M4" s="2"/>
      <c r="N4" s="2"/>
      <c r="O4" s="2"/>
      <c r="P4" s="2"/>
    </row>
    <row r="5" spans="1:16" x14ac:dyDescent="0.3">
      <c r="A5" s="2"/>
      <c r="B5" s="2"/>
      <c r="C5" s="2"/>
      <c r="D5" s="2"/>
      <c r="E5" s="2"/>
      <c r="F5" s="2"/>
      <c r="G5" s="2"/>
      <c r="H5" s="2"/>
      <c r="I5" s="2"/>
      <c r="J5" s="2"/>
      <c r="K5" s="2"/>
      <c r="L5" s="2"/>
      <c r="M5" s="2"/>
      <c r="N5" s="2"/>
      <c r="O5" s="2"/>
      <c r="P5" s="2"/>
    </row>
    <row r="6" spans="1:16" x14ac:dyDescent="0.3">
      <c r="A6" s="2"/>
      <c r="B6" s="2"/>
      <c r="C6" s="2"/>
      <c r="D6" s="2"/>
      <c r="E6" s="2"/>
      <c r="F6" s="2"/>
      <c r="G6" s="2"/>
      <c r="H6" s="2"/>
      <c r="I6" s="2"/>
      <c r="J6" s="2"/>
      <c r="K6" s="2"/>
      <c r="L6" s="2"/>
      <c r="M6" s="2"/>
      <c r="N6" s="2"/>
      <c r="O6" s="2"/>
      <c r="P6" s="2"/>
    </row>
    <row r="7" spans="1:16" x14ac:dyDescent="0.3">
      <c r="A7" s="2"/>
      <c r="B7" s="2"/>
      <c r="C7" s="2"/>
      <c r="D7" s="2"/>
      <c r="E7" s="2"/>
      <c r="F7" s="2"/>
      <c r="G7" s="2"/>
      <c r="H7" s="2"/>
      <c r="I7" s="2"/>
      <c r="J7" s="2"/>
      <c r="K7" s="2"/>
      <c r="L7" s="2"/>
      <c r="M7" s="2"/>
      <c r="N7" s="2"/>
      <c r="O7" s="2"/>
      <c r="P7" s="2"/>
    </row>
    <row r="8" spans="1:16" x14ac:dyDescent="0.3">
      <c r="A8" s="2"/>
      <c r="B8" s="2"/>
      <c r="C8" s="2"/>
      <c r="D8" s="2"/>
      <c r="E8" s="2"/>
      <c r="F8" s="2"/>
      <c r="G8" s="2"/>
      <c r="H8" s="2"/>
      <c r="I8" s="2"/>
      <c r="J8" s="2"/>
      <c r="K8" s="2"/>
      <c r="L8" s="2"/>
      <c r="M8" s="2"/>
      <c r="N8" s="2"/>
      <c r="O8" s="2"/>
      <c r="P8" s="2"/>
    </row>
    <row r="9" spans="1:16" x14ac:dyDescent="0.3">
      <c r="A9" s="2"/>
      <c r="B9" s="2"/>
      <c r="C9" s="2"/>
      <c r="D9" s="2"/>
      <c r="E9" s="2"/>
      <c r="F9" s="2"/>
      <c r="G9" s="2"/>
      <c r="H9" s="2"/>
      <c r="I9" s="2"/>
      <c r="J9" s="2"/>
      <c r="K9" s="2"/>
      <c r="L9" s="2"/>
      <c r="M9" s="2"/>
      <c r="N9" s="2"/>
      <c r="O9" s="2"/>
      <c r="P9" s="2"/>
    </row>
    <row r="10" spans="1:16" x14ac:dyDescent="0.3">
      <c r="A10" s="2"/>
      <c r="B10" s="2"/>
      <c r="C10" s="2"/>
      <c r="D10" s="2"/>
      <c r="E10" s="2"/>
      <c r="F10" s="2"/>
      <c r="G10" s="2"/>
      <c r="H10" s="2"/>
      <c r="I10" s="2"/>
      <c r="J10" s="2"/>
      <c r="K10" s="2"/>
      <c r="L10" s="2"/>
      <c r="M10" s="2"/>
      <c r="N10" s="2"/>
      <c r="O10" s="2"/>
      <c r="P10" s="2"/>
    </row>
    <row r="11" spans="1:16" x14ac:dyDescent="0.3">
      <c r="A11" s="2"/>
      <c r="B11" s="2"/>
      <c r="C11" s="2"/>
      <c r="D11" s="2"/>
      <c r="E11" s="2"/>
      <c r="F11" s="2"/>
      <c r="G11" s="2"/>
      <c r="H11" s="2"/>
      <c r="I11" s="2"/>
      <c r="J11" s="2"/>
      <c r="K11" s="2"/>
      <c r="L11" s="2"/>
      <c r="M11" s="2"/>
      <c r="N11" s="2"/>
      <c r="O11" s="2"/>
      <c r="P11" s="2"/>
    </row>
    <row r="12" spans="1:16" x14ac:dyDescent="0.3">
      <c r="A12" s="2"/>
      <c r="B12" s="2"/>
      <c r="C12" s="2"/>
      <c r="D12" s="2"/>
      <c r="E12" s="2"/>
      <c r="F12" s="2"/>
      <c r="G12" s="2"/>
      <c r="H12" s="2"/>
      <c r="I12" s="2"/>
      <c r="J12" s="2"/>
      <c r="K12" s="2"/>
      <c r="L12" s="2"/>
      <c r="M12" s="2"/>
      <c r="N12" s="2"/>
      <c r="O12" s="2"/>
      <c r="P12" s="2"/>
    </row>
    <row r="13" spans="1:16" x14ac:dyDescent="0.3">
      <c r="A13" s="2"/>
      <c r="B13" s="2"/>
      <c r="C13" s="2"/>
      <c r="D13" s="2"/>
      <c r="E13" s="2"/>
      <c r="F13" s="2"/>
      <c r="G13" s="2"/>
      <c r="H13" s="2"/>
      <c r="I13" s="2"/>
      <c r="J13" s="2"/>
      <c r="K13" s="2"/>
      <c r="L13" s="2"/>
      <c r="M13" s="2"/>
      <c r="N13" s="2"/>
      <c r="O13" s="2"/>
      <c r="P13" s="2"/>
    </row>
    <row r="14" spans="1:16" x14ac:dyDescent="0.3">
      <c r="A14" s="2"/>
      <c r="B14" s="2"/>
      <c r="C14" s="2"/>
      <c r="D14" s="2"/>
      <c r="E14" s="2"/>
      <c r="F14" s="2"/>
      <c r="G14" s="2"/>
      <c r="H14" s="2"/>
      <c r="I14" s="2"/>
      <c r="J14" s="2"/>
      <c r="K14" s="2"/>
      <c r="L14" s="2"/>
      <c r="M14" s="2"/>
      <c r="N14" s="2"/>
      <c r="O14" s="2"/>
      <c r="P14" s="2"/>
    </row>
    <row r="15" spans="1:16" x14ac:dyDescent="0.3">
      <c r="A15" s="2"/>
      <c r="B15" s="2"/>
      <c r="C15" s="2"/>
      <c r="D15" s="2"/>
      <c r="E15" s="2"/>
      <c r="F15" s="2"/>
      <c r="G15" s="2"/>
      <c r="H15" s="2"/>
      <c r="I15" s="2"/>
      <c r="J15" s="2"/>
      <c r="K15" s="2"/>
      <c r="L15" s="2"/>
      <c r="M15" s="2"/>
      <c r="N15" s="2"/>
      <c r="O15" s="2"/>
      <c r="P15" s="2"/>
    </row>
    <row r="16" spans="1:16" x14ac:dyDescent="0.3">
      <c r="A16" s="2"/>
      <c r="B16" s="2"/>
      <c r="C16" s="2"/>
      <c r="D16" s="2"/>
      <c r="E16" s="2"/>
      <c r="F16" s="2"/>
      <c r="G16" s="2"/>
      <c r="H16" s="2"/>
      <c r="I16" s="2"/>
      <c r="J16" s="2"/>
      <c r="K16" s="2"/>
      <c r="L16" s="2"/>
      <c r="M16" s="2"/>
      <c r="N16" s="2"/>
      <c r="O16" s="2"/>
      <c r="P16" s="2"/>
    </row>
    <row r="17" spans="1:16" x14ac:dyDescent="0.3">
      <c r="A17" s="2"/>
      <c r="B17" s="2"/>
      <c r="C17" s="2"/>
      <c r="D17" s="2"/>
      <c r="E17" s="2"/>
      <c r="F17" s="2"/>
      <c r="G17" s="2"/>
      <c r="H17" s="2"/>
      <c r="I17" s="2"/>
      <c r="J17" s="2"/>
      <c r="K17" s="2"/>
      <c r="L17" s="2"/>
      <c r="M17" s="2"/>
      <c r="N17" s="2"/>
      <c r="O17" s="2"/>
      <c r="P17" s="2"/>
    </row>
    <row r="18" spans="1:16" x14ac:dyDescent="0.3">
      <c r="A18" s="2"/>
      <c r="B18" s="2"/>
      <c r="C18" s="2"/>
      <c r="D18" s="2"/>
      <c r="E18" s="2"/>
      <c r="F18" s="2"/>
      <c r="G18" s="2"/>
      <c r="H18" s="2"/>
      <c r="I18" s="2"/>
      <c r="J18" s="2"/>
      <c r="K18" s="2"/>
      <c r="L18" s="2"/>
      <c r="M18" s="2"/>
      <c r="N18" s="2"/>
      <c r="O18" s="2"/>
      <c r="P18" s="2"/>
    </row>
    <row r="19" spans="1:16" x14ac:dyDescent="0.3">
      <c r="A19" s="2"/>
      <c r="B19" s="2"/>
      <c r="C19" s="2"/>
      <c r="D19" s="2"/>
      <c r="E19" s="2"/>
      <c r="F19" s="2"/>
      <c r="G19" s="2"/>
      <c r="H19" s="2"/>
      <c r="I19" s="2"/>
      <c r="J19" s="2"/>
      <c r="K19" s="2"/>
      <c r="L19" s="2"/>
      <c r="M19" s="2"/>
      <c r="N19" s="2"/>
      <c r="O19" s="2"/>
      <c r="P19" s="2"/>
    </row>
    <row r="20" spans="1:16" x14ac:dyDescent="0.3">
      <c r="A20" s="2"/>
      <c r="B20" s="2"/>
      <c r="C20" s="2"/>
      <c r="D20" s="2"/>
      <c r="E20" s="2"/>
      <c r="F20" s="2"/>
      <c r="G20" s="2"/>
      <c r="H20" s="2"/>
      <c r="I20" s="2"/>
      <c r="J20" s="2"/>
      <c r="K20" s="2"/>
      <c r="L20" s="2"/>
      <c r="M20" s="2"/>
      <c r="N20" s="2"/>
      <c r="O20" s="2"/>
      <c r="P20" s="2"/>
    </row>
    <row r="21" spans="1:16" x14ac:dyDescent="0.3">
      <c r="A21" s="2"/>
      <c r="B21" s="2"/>
      <c r="C21" s="2"/>
      <c r="D21" s="2"/>
      <c r="E21" s="2"/>
      <c r="F21" s="2"/>
      <c r="G21" s="2"/>
      <c r="H21" s="2"/>
      <c r="I21" s="2"/>
      <c r="J21" s="2"/>
      <c r="K21" s="2"/>
      <c r="L21" s="2"/>
      <c r="M21" s="2"/>
      <c r="N21" s="2"/>
      <c r="O21" s="2"/>
      <c r="P21" s="2"/>
    </row>
    <row r="22" spans="1:16" x14ac:dyDescent="0.3">
      <c r="A22" s="2"/>
      <c r="B22" s="2"/>
      <c r="C22" s="2"/>
      <c r="D22" s="2"/>
      <c r="E22" s="2"/>
      <c r="F22" s="2"/>
      <c r="G22" s="2"/>
      <c r="H22" s="2"/>
      <c r="I22" s="2"/>
      <c r="J22" s="2"/>
      <c r="K22" s="2"/>
      <c r="L22" s="2"/>
      <c r="M22" s="2"/>
      <c r="N22" s="2"/>
      <c r="O22" s="2"/>
      <c r="P22" s="2"/>
    </row>
    <row r="23" spans="1:16" x14ac:dyDescent="0.3">
      <c r="A23" s="2"/>
      <c r="B23" s="2"/>
      <c r="C23" s="2"/>
      <c r="D23" s="2"/>
      <c r="E23" s="2"/>
      <c r="F23" s="2"/>
      <c r="G23" s="2"/>
      <c r="H23" s="2"/>
      <c r="I23" s="2"/>
      <c r="J23" s="2"/>
      <c r="K23" s="2"/>
      <c r="L23" s="2"/>
      <c r="M23" s="2"/>
      <c r="N23" s="2"/>
      <c r="O23" s="2"/>
      <c r="P23" s="2"/>
    </row>
    <row r="24" spans="1:16" x14ac:dyDescent="0.3">
      <c r="A24" s="2"/>
      <c r="B24" s="2"/>
      <c r="C24" s="2"/>
      <c r="D24" s="2"/>
      <c r="E24" s="2"/>
      <c r="F24" s="2"/>
      <c r="G24" s="2"/>
      <c r="H24" s="2"/>
      <c r="I24" s="2"/>
      <c r="J24" s="2"/>
      <c r="K24" s="2"/>
      <c r="L24" s="2"/>
      <c r="M24" s="2"/>
      <c r="N24" s="2"/>
      <c r="O24" s="2"/>
      <c r="P24"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902B9-0EA1-4BD7-9E67-EEBAA52DFF0A}">
  <dimension ref="A1:Q31"/>
  <sheetViews>
    <sheetView zoomScale="130" zoomScaleNormal="130" workbookViewId="0">
      <selection activeCell="F21" sqref="F21"/>
    </sheetView>
  </sheetViews>
  <sheetFormatPr defaultRowHeight="14.4" x14ac:dyDescent="0.3"/>
  <cols>
    <col min="14" max="14" width="8.44140625" customWidth="1"/>
  </cols>
  <sheetData>
    <row r="1" spans="1:17" x14ac:dyDescent="0.3">
      <c r="A1" s="5"/>
      <c r="B1" s="5"/>
      <c r="C1" s="5"/>
      <c r="D1" s="5"/>
      <c r="E1" s="5"/>
      <c r="F1" s="5"/>
      <c r="G1" s="5"/>
      <c r="H1" s="5"/>
      <c r="I1" s="5"/>
      <c r="J1" s="5"/>
      <c r="K1" s="5"/>
      <c r="L1" s="5"/>
      <c r="M1" s="5"/>
      <c r="N1" s="5"/>
      <c r="O1" s="5"/>
      <c r="P1" s="5"/>
      <c r="Q1" s="5"/>
    </row>
    <row r="2" spans="1:17" x14ac:dyDescent="0.3">
      <c r="A2" s="5"/>
      <c r="B2" s="5"/>
      <c r="C2" s="5"/>
      <c r="D2" s="5"/>
      <c r="E2" s="5"/>
      <c r="F2" s="5"/>
      <c r="G2" s="5"/>
      <c r="H2" s="5"/>
      <c r="I2" s="5"/>
      <c r="J2" s="5"/>
      <c r="K2" s="5"/>
      <c r="L2" s="5"/>
      <c r="M2" s="5"/>
      <c r="N2" s="5"/>
      <c r="O2" s="5"/>
      <c r="P2" s="5"/>
      <c r="Q2" s="5"/>
    </row>
    <row r="3" spans="1:17" x14ac:dyDescent="0.3">
      <c r="A3" s="5"/>
      <c r="B3" s="5"/>
      <c r="C3" s="5"/>
      <c r="D3" s="5"/>
      <c r="E3" s="5"/>
      <c r="F3" s="5"/>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5"/>
      <c r="K5" s="5"/>
      <c r="L5" s="5"/>
      <c r="M5" s="5"/>
      <c r="N5" s="5"/>
      <c r="O5" s="5"/>
      <c r="P5" s="5"/>
      <c r="Q5" s="5"/>
    </row>
    <row r="6" spans="1:17" x14ac:dyDescent="0.3">
      <c r="A6" s="5"/>
      <c r="B6" s="5"/>
      <c r="C6" s="5"/>
      <c r="D6" s="5"/>
      <c r="E6" s="5"/>
      <c r="F6" s="5"/>
      <c r="G6" s="5"/>
      <c r="H6" s="5"/>
      <c r="I6" s="5"/>
      <c r="J6" s="5"/>
      <c r="K6" s="5"/>
      <c r="L6" s="5"/>
      <c r="M6" s="5"/>
      <c r="N6" s="5"/>
      <c r="O6" s="5"/>
      <c r="P6" s="5"/>
      <c r="Q6" s="5"/>
    </row>
    <row r="7" spans="1:17" x14ac:dyDescent="0.3">
      <c r="A7" s="5"/>
      <c r="B7" s="5"/>
      <c r="C7" s="5"/>
      <c r="D7" s="5"/>
      <c r="E7" s="5"/>
      <c r="F7" s="5"/>
      <c r="G7" s="5"/>
      <c r="H7" s="5"/>
      <c r="I7" s="5"/>
      <c r="J7" s="5"/>
      <c r="K7" s="5"/>
      <c r="L7" s="5"/>
      <c r="M7" s="5"/>
      <c r="N7" s="5"/>
      <c r="O7" s="5"/>
      <c r="P7" s="5"/>
      <c r="Q7" s="5"/>
    </row>
    <row r="8" spans="1:17" x14ac:dyDescent="0.3">
      <c r="A8" s="5"/>
      <c r="B8" s="5"/>
      <c r="C8" s="5"/>
      <c r="D8" s="5"/>
      <c r="E8" s="5"/>
      <c r="F8" s="5"/>
      <c r="G8" s="5"/>
      <c r="H8" s="5"/>
      <c r="I8" s="5"/>
      <c r="J8" s="5"/>
      <c r="K8" s="5"/>
      <c r="L8" s="5"/>
      <c r="M8" s="5"/>
      <c r="N8" s="5"/>
      <c r="O8" s="5"/>
      <c r="P8" s="5"/>
      <c r="Q8" s="5"/>
    </row>
    <row r="9" spans="1:17" x14ac:dyDescent="0.3">
      <c r="A9" s="5"/>
      <c r="B9" s="5"/>
      <c r="C9" s="5"/>
      <c r="D9" s="5"/>
      <c r="E9" s="5"/>
      <c r="F9" s="5"/>
      <c r="G9" s="5"/>
      <c r="H9" s="5"/>
      <c r="I9" s="5"/>
      <c r="J9" s="5"/>
      <c r="K9" s="5"/>
      <c r="L9" s="5"/>
      <c r="M9" s="5"/>
      <c r="N9" s="5"/>
      <c r="O9" s="5"/>
      <c r="P9" s="5"/>
      <c r="Q9" s="5"/>
    </row>
    <row r="10" spans="1:17" x14ac:dyDescent="0.3">
      <c r="A10" s="5"/>
      <c r="B10" s="5"/>
      <c r="C10" s="5"/>
      <c r="D10" s="5"/>
      <c r="E10" s="5"/>
      <c r="F10" s="5"/>
      <c r="G10" s="5"/>
      <c r="H10" s="5"/>
      <c r="I10" s="5"/>
      <c r="J10" s="5"/>
      <c r="K10" s="5"/>
      <c r="L10" s="5"/>
      <c r="M10" s="5"/>
      <c r="N10" s="5"/>
      <c r="O10" s="5"/>
      <c r="P10" s="5"/>
      <c r="Q10" s="5"/>
    </row>
    <row r="11" spans="1:17" x14ac:dyDescent="0.3">
      <c r="A11" s="5"/>
      <c r="B11" s="5"/>
      <c r="C11" s="5"/>
      <c r="D11" s="5"/>
      <c r="E11" s="5"/>
      <c r="F11" s="5"/>
      <c r="G11" s="5"/>
      <c r="H11" s="5"/>
      <c r="I11" s="5"/>
      <c r="J11" s="5"/>
      <c r="K11" s="5"/>
      <c r="L11" s="5"/>
      <c r="M11" s="5"/>
      <c r="N11" s="5"/>
      <c r="O11" s="5"/>
      <c r="P11" s="5"/>
      <c r="Q11" s="5"/>
    </row>
    <row r="12" spans="1:17" x14ac:dyDescent="0.3">
      <c r="A12" s="5"/>
      <c r="B12" s="5"/>
      <c r="C12" s="5"/>
      <c r="D12" s="5"/>
      <c r="E12" s="5"/>
      <c r="F12" s="5"/>
      <c r="G12" s="5"/>
      <c r="H12" s="5"/>
      <c r="I12" s="5"/>
      <c r="J12" s="5"/>
      <c r="K12" s="5"/>
      <c r="L12" s="5"/>
      <c r="M12" s="5"/>
      <c r="N12" s="5"/>
      <c r="O12" s="5"/>
      <c r="P12" s="5"/>
      <c r="Q12" s="5"/>
    </row>
    <row r="13" spans="1:17" x14ac:dyDescent="0.3">
      <c r="A13" s="5"/>
      <c r="B13" s="5"/>
      <c r="C13" s="5"/>
      <c r="D13" s="5"/>
      <c r="E13" s="5"/>
      <c r="F13" s="5"/>
      <c r="G13" s="5"/>
      <c r="H13" s="5"/>
      <c r="I13" s="5"/>
      <c r="J13" s="5"/>
      <c r="K13" s="5"/>
      <c r="L13" s="5"/>
      <c r="M13" s="5"/>
      <c r="N13" s="5"/>
      <c r="O13" s="5"/>
      <c r="P13" s="5"/>
      <c r="Q13" s="5"/>
    </row>
    <row r="14" spans="1:17" x14ac:dyDescent="0.3">
      <c r="A14" s="5"/>
      <c r="B14" s="5"/>
      <c r="C14" s="5"/>
      <c r="D14" s="5"/>
      <c r="E14" s="5"/>
      <c r="F14" s="5"/>
      <c r="G14" s="5"/>
      <c r="H14" s="5"/>
      <c r="I14" s="5"/>
      <c r="J14" s="5"/>
      <c r="K14" s="5"/>
      <c r="L14" s="5"/>
      <c r="M14" s="5"/>
      <c r="N14" s="5"/>
      <c r="O14" s="5"/>
      <c r="P14" s="5"/>
      <c r="Q14" s="5"/>
    </row>
    <row r="15" spans="1:17" x14ac:dyDescent="0.3">
      <c r="A15" s="5"/>
      <c r="B15" s="5"/>
      <c r="C15" s="5"/>
      <c r="D15" s="5"/>
      <c r="E15" s="5"/>
      <c r="F15" s="5"/>
      <c r="G15" s="5"/>
      <c r="H15" s="5"/>
      <c r="I15" s="5"/>
      <c r="J15" s="5"/>
      <c r="K15" s="5"/>
      <c r="L15" s="5"/>
      <c r="M15" s="5"/>
      <c r="N15" s="5"/>
      <c r="O15" s="5"/>
      <c r="P15" s="5"/>
      <c r="Q15" s="5"/>
    </row>
    <row r="16" spans="1:17" x14ac:dyDescent="0.3">
      <c r="A16" s="5"/>
      <c r="B16" s="5"/>
      <c r="C16" s="5"/>
      <c r="D16" s="5"/>
      <c r="E16" s="5"/>
      <c r="F16" s="5"/>
      <c r="G16" s="5"/>
      <c r="H16" s="5"/>
      <c r="I16" s="5"/>
      <c r="J16" s="5"/>
      <c r="K16" s="5"/>
      <c r="L16" s="5"/>
      <c r="M16" s="5"/>
      <c r="N16" s="5"/>
      <c r="O16" s="5"/>
      <c r="P16" s="5"/>
      <c r="Q16" s="5"/>
    </row>
    <row r="17" spans="1:17" ht="10.8" customHeight="1" x14ac:dyDescent="0.3">
      <c r="A17" s="5"/>
      <c r="B17" s="5"/>
      <c r="C17" s="5"/>
      <c r="D17" s="5"/>
      <c r="E17" s="5"/>
      <c r="F17" s="5"/>
      <c r="G17" s="5"/>
      <c r="H17" s="5"/>
      <c r="I17" s="5"/>
      <c r="J17" s="5"/>
      <c r="K17" s="5"/>
      <c r="L17" s="5"/>
      <c r="M17" s="5"/>
      <c r="N17" s="5"/>
      <c r="O17" s="5"/>
      <c r="P17" s="5"/>
      <c r="Q17" s="5"/>
    </row>
    <row r="18" spans="1:17" x14ac:dyDescent="0.3">
      <c r="A18" s="13" t="s">
        <v>6</v>
      </c>
      <c r="B18" s="13"/>
      <c r="C18" s="13"/>
      <c r="D18" s="13"/>
      <c r="E18" s="13"/>
      <c r="F18" s="13"/>
      <c r="G18" s="13"/>
      <c r="H18" s="13"/>
      <c r="I18" s="13"/>
      <c r="J18" s="13"/>
      <c r="K18" s="13"/>
      <c r="L18" s="13"/>
      <c r="M18" s="13"/>
      <c r="N18" s="13"/>
      <c r="O18" s="5"/>
      <c r="P18" s="5"/>
      <c r="Q18" s="5"/>
    </row>
    <row r="19" spans="1:17" x14ac:dyDescent="0.3">
      <c r="A19" s="5"/>
      <c r="B19" s="5"/>
      <c r="C19" s="5"/>
      <c r="D19" s="5"/>
      <c r="E19" s="5"/>
      <c r="F19" s="5"/>
      <c r="G19" s="5"/>
      <c r="H19" s="5"/>
      <c r="I19" s="5"/>
      <c r="J19" s="5"/>
      <c r="K19" s="5"/>
      <c r="L19" s="5"/>
      <c r="M19" s="5"/>
      <c r="N19" s="5"/>
      <c r="O19" s="5"/>
      <c r="P19" s="5"/>
      <c r="Q19" s="5"/>
    </row>
    <row r="20" spans="1:17" x14ac:dyDescent="0.3">
      <c r="A20" s="5"/>
      <c r="B20" s="5"/>
      <c r="C20" s="5"/>
      <c r="D20" s="5"/>
      <c r="E20" s="5"/>
      <c r="F20" s="5"/>
      <c r="G20" s="5"/>
      <c r="H20" s="5"/>
      <c r="I20" s="5"/>
      <c r="J20" s="5"/>
      <c r="K20" s="5"/>
      <c r="L20" s="5"/>
      <c r="M20" s="5"/>
      <c r="N20" s="5"/>
      <c r="O20" s="5"/>
      <c r="P20" s="5"/>
      <c r="Q20" s="5"/>
    </row>
    <row r="21" spans="1:17" x14ac:dyDescent="0.3">
      <c r="A21" s="5"/>
      <c r="B21" s="5"/>
      <c r="C21" s="5"/>
      <c r="D21" s="5"/>
      <c r="E21" s="5"/>
      <c r="F21" s="5"/>
      <c r="G21" s="5"/>
      <c r="H21" s="5"/>
      <c r="I21" s="5"/>
      <c r="J21" s="5"/>
      <c r="K21" s="5"/>
      <c r="L21" s="5"/>
      <c r="M21" s="5"/>
      <c r="N21" s="5"/>
      <c r="O21" s="5"/>
      <c r="P21" s="5"/>
      <c r="Q21" s="5"/>
    </row>
    <row r="22" spans="1:17" x14ac:dyDescent="0.3">
      <c r="A22" s="5"/>
      <c r="B22" s="5"/>
      <c r="C22" s="5"/>
      <c r="D22" s="5"/>
      <c r="E22" s="5"/>
      <c r="F22" s="5"/>
      <c r="G22" s="5"/>
      <c r="H22" s="5"/>
      <c r="I22" s="5"/>
      <c r="J22" s="5"/>
      <c r="K22" s="5"/>
      <c r="L22" s="5"/>
      <c r="M22" s="5"/>
      <c r="N22" s="5"/>
      <c r="O22" s="5"/>
      <c r="P22" s="5"/>
      <c r="Q22" s="5"/>
    </row>
    <row r="23" spans="1:17" x14ac:dyDescent="0.3">
      <c r="A23" s="5"/>
      <c r="B23" s="5"/>
      <c r="C23" s="5"/>
      <c r="D23" s="5"/>
      <c r="E23" s="5"/>
      <c r="F23" s="5"/>
      <c r="G23" s="5"/>
      <c r="H23" s="5"/>
      <c r="I23" s="5"/>
      <c r="J23" s="5"/>
      <c r="K23" s="5"/>
      <c r="L23" s="5"/>
      <c r="M23" s="5"/>
      <c r="N23" s="5"/>
      <c r="O23" s="5"/>
      <c r="P23" s="5"/>
      <c r="Q23" s="5"/>
    </row>
    <row r="24" spans="1:17" x14ac:dyDescent="0.3">
      <c r="A24" s="5"/>
      <c r="B24" s="5"/>
      <c r="C24" s="5"/>
      <c r="D24" s="5"/>
      <c r="E24" s="5"/>
      <c r="F24" s="5"/>
      <c r="G24" s="5"/>
      <c r="H24" s="5"/>
      <c r="I24" s="5"/>
      <c r="J24" s="5"/>
      <c r="K24" s="5"/>
      <c r="L24" s="5"/>
      <c r="M24" s="5"/>
      <c r="N24" s="5"/>
      <c r="O24" s="5"/>
      <c r="P24" s="5"/>
      <c r="Q24" s="5"/>
    </row>
    <row r="25" spans="1:17" x14ac:dyDescent="0.3">
      <c r="A25" s="5"/>
      <c r="B25" s="5"/>
      <c r="C25" s="5"/>
      <c r="D25" s="5"/>
      <c r="E25" s="5"/>
      <c r="F25" s="5"/>
      <c r="G25" s="5"/>
      <c r="H25" s="5"/>
      <c r="I25" s="5"/>
      <c r="J25" s="5"/>
      <c r="K25" s="5"/>
      <c r="L25" s="5"/>
      <c r="M25" s="5"/>
      <c r="N25" s="5"/>
      <c r="O25" s="5"/>
      <c r="P25" s="5"/>
      <c r="Q25" s="5"/>
    </row>
    <row r="26" spans="1:17" x14ac:dyDescent="0.3">
      <c r="A26" s="5"/>
      <c r="B26" s="5"/>
      <c r="C26" s="5"/>
      <c r="D26" s="5"/>
      <c r="E26" s="5"/>
      <c r="F26" s="5"/>
      <c r="G26" s="5"/>
      <c r="H26" s="5"/>
      <c r="I26" s="5"/>
      <c r="J26" s="5"/>
      <c r="K26" s="5"/>
      <c r="L26" s="5"/>
      <c r="M26" s="5"/>
      <c r="N26" s="5"/>
      <c r="O26" s="5"/>
      <c r="P26" s="5"/>
      <c r="Q26" s="5"/>
    </row>
    <row r="27" spans="1:17" x14ac:dyDescent="0.3">
      <c r="A27" s="5"/>
      <c r="B27" s="5"/>
      <c r="C27" s="5"/>
      <c r="D27" s="5"/>
      <c r="E27" s="5"/>
      <c r="F27" s="5"/>
      <c r="G27" s="5"/>
      <c r="H27" s="5"/>
      <c r="I27" s="5"/>
      <c r="J27" s="5"/>
      <c r="K27" s="5"/>
      <c r="L27" s="5"/>
      <c r="M27" s="5"/>
      <c r="N27" s="5"/>
      <c r="O27" s="5"/>
      <c r="P27" s="5"/>
      <c r="Q27" s="5"/>
    </row>
    <row r="28" spans="1:17" x14ac:dyDescent="0.3">
      <c r="A28" s="5"/>
      <c r="B28" s="5"/>
      <c r="C28" s="5"/>
      <c r="D28" s="5"/>
      <c r="E28" s="5"/>
      <c r="F28" s="5"/>
      <c r="G28" s="5"/>
      <c r="H28" s="5"/>
      <c r="I28" s="5"/>
      <c r="J28" s="5"/>
      <c r="K28" s="5"/>
      <c r="L28" s="5"/>
      <c r="M28" s="5"/>
      <c r="N28" s="5"/>
      <c r="O28" s="5"/>
      <c r="P28" s="5"/>
      <c r="Q28" s="5"/>
    </row>
    <row r="29" spans="1:17" x14ac:dyDescent="0.3">
      <c r="A29" s="5"/>
      <c r="B29" s="5"/>
      <c r="C29" s="5"/>
      <c r="D29" s="5"/>
      <c r="E29" s="5"/>
      <c r="F29" s="5"/>
      <c r="G29" s="5"/>
      <c r="H29" s="5"/>
      <c r="I29" s="5"/>
      <c r="J29" s="5"/>
      <c r="K29" s="5"/>
      <c r="L29" s="5"/>
      <c r="M29" s="5"/>
      <c r="N29" s="5"/>
      <c r="O29" s="5"/>
      <c r="P29" s="5"/>
      <c r="Q29" s="5"/>
    </row>
    <row r="30" spans="1:17" x14ac:dyDescent="0.3">
      <c r="A30" s="5"/>
      <c r="B30" s="5"/>
      <c r="C30" s="5"/>
      <c r="D30" s="5"/>
      <c r="E30" s="5"/>
      <c r="F30" s="5"/>
      <c r="G30" s="5"/>
      <c r="H30" s="5"/>
      <c r="I30" s="5"/>
      <c r="J30" s="5"/>
      <c r="K30" s="5"/>
      <c r="L30" s="5"/>
      <c r="M30" s="5"/>
      <c r="N30" s="5"/>
      <c r="O30" s="5"/>
      <c r="P30" s="5"/>
      <c r="Q30" s="5"/>
    </row>
    <row r="31" spans="1:17" x14ac:dyDescent="0.3">
      <c r="A31" s="5"/>
      <c r="B31" s="5"/>
      <c r="C31" s="5"/>
      <c r="D31" s="5"/>
      <c r="E31" s="5"/>
      <c r="F31" s="5"/>
      <c r="G31" s="5"/>
      <c r="H31" s="5"/>
      <c r="I31" s="5"/>
      <c r="J31" s="5"/>
      <c r="K31" s="5"/>
      <c r="L31" s="5"/>
      <c r="M31" s="5"/>
      <c r="N31" s="5"/>
      <c r="O31" s="5"/>
      <c r="P31" s="5"/>
      <c r="Q31" s="5"/>
    </row>
  </sheetData>
  <mergeCells count="1">
    <mergeCell ref="A18:N1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145C-87A3-49DC-9D25-141624B71280}">
  <dimension ref="A1:T32"/>
  <sheetViews>
    <sheetView zoomScale="115" zoomScaleNormal="115" workbookViewId="0">
      <selection activeCell="S7" sqref="S7"/>
    </sheetView>
  </sheetViews>
  <sheetFormatPr defaultRowHeight="14.4" x14ac:dyDescent="0.3"/>
  <sheetData>
    <row r="1" spans="1:20" x14ac:dyDescent="0.3">
      <c r="A1" s="5"/>
      <c r="B1" s="5"/>
      <c r="C1" s="5"/>
      <c r="D1" s="5"/>
      <c r="E1" s="5"/>
      <c r="F1" s="5"/>
      <c r="G1" s="5"/>
      <c r="H1" s="5"/>
      <c r="I1" s="5"/>
      <c r="J1" s="5"/>
      <c r="K1" s="5"/>
      <c r="L1" s="5"/>
      <c r="M1" s="5"/>
      <c r="N1" s="5"/>
      <c r="O1" s="5"/>
      <c r="P1" s="5"/>
      <c r="Q1" s="5"/>
      <c r="R1" s="5"/>
      <c r="S1" s="5"/>
      <c r="T1" s="5"/>
    </row>
    <row r="2" spans="1:20" x14ac:dyDescent="0.3">
      <c r="A2" s="5"/>
      <c r="B2" s="5"/>
      <c r="C2" s="5"/>
      <c r="D2" s="5"/>
      <c r="E2" s="5"/>
      <c r="F2" s="5"/>
      <c r="G2" s="5"/>
      <c r="H2" s="5"/>
      <c r="I2" s="5"/>
      <c r="J2" s="5"/>
      <c r="K2" s="5"/>
      <c r="L2" s="5"/>
      <c r="M2" s="5"/>
      <c r="N2" s="5"/>
      <c r="O2" s="5"/>
      <c r="P2" s="5"/>
      <c r="Q2" s="5"/>
      <c r="R2" s="5"/>
      <c r="S2" s="5"/>
      <c r="T2" s="5"/>
    </row>
    <row r="3" spans="1:20" x14ac:dyDescent="0.3">
      <c r="A3" s="5"/>
      <c r="B3" s="5"/>
      <c r="C3" s="5"/>
      <c r="D3" s="5"/>
      <c r="E3" s="5"/>
      <c r="F3" s="5"/>
      <c r="G3" s="5"/>
      <c r="H3" s="5"/>
      <c r="I3" s="5"/>
      <c r="J3" s="5"/>
      <c r="K3" s="5"/>
      <c r="L3" s="5"/>
      <c r="M3" s="5"/>
      <c r="N3" s="5"/>
      <c r="O3" s="5"/>
      <c r="P3" s="5"/>
      <c r="Q3" s="5"/>
      <c r="R3" s="5"/>
      <c r="S3" s="5"/>
      <c r="T3" s="5"/>
    </row>
    <row r="4" spans="1:20" x14ac:dyDescent="0.3">
      <c r="A4" s="5"/>
      <c r="B4" s="5"/>
      <c r="C4" s="5"/>
      <c r="D4" s="5"/>
      <c r="E4" s="5"/>
      <c r="F4" s="5"/>
      <c r="G4" s="5"/>
      <c r="H4" s="5"/>
      <c r="I4" s="5"/>
      <c r="J4" s="5"/>
      <c r="K4" s="5"/>
      <c r="L4" s="5"/>
      <c r="M4" s="5"/>
      <c r="N4" s="5"/>
      <c r="O4" s="5"/>
      <c r="P4" s="5"/>
      <c r="Q4" s="5"/>
      <c r="R4" s="5"/>
      <c r="S4" s="5"/>
      <c r="T4" s="5"/>
    </row>
    <row r="5" spans="1:20" x14ac:dyDescent="0.3">
      <c r="A5" s="5"/>
      <c r="B5" s="5"/>
      <c r="C5" s="5"/>
      <c r="D5" s="5"/>
      <c r="E5" s="5"/>
      <c r="F5" s="5"/>
      <c r="G5" s="5"/>
      <c r="H5" s="5"/>
      <c r="I5" s="5"/>
      <c r="J5" s="5"/>
      <c r="K5" s="5"/>
      <c r="L5" s="5"/>
      <c r="M5" s="5"/>
      <c r="N5" s="5"/>
      <c r="O5" s="5"/>
      <c r="P5" s="5"/>
      <c r="Q5" s="5"/>
      <c r="R5" s="5"/>
      <c r="S5" s="5"/>
      <c r="T5" s="5"/>
    </row>
    <row r="6" spans="1:20" x14ac:dyDescent="0.3">
      <c r="A6" s="5"/>
      <c r="B6" s="5"/>
      <c r="C6" s="5"/>
      <c r="D6" s="5"/>
      <c r="E6" s="5"/>
      <c r="F6" s="5"/>
      <c r="G6" s="5"/>
      <c r="H6" s="5"/>
      <c r="I6" s="5"/>
      <c r="J6" s="5"/>
      <c r="K6" s="5"/>
      <c r="L6" s="5"/>
      <c r="M6" s="5"/>
      <c r="N6" s="5"/>
      <c r="O6" s="5"/>
      <c r="P6" s="5"/>
      <c r="Q6" s="5"/>
      <c r="R6" s="5"/>
      <c r="S6" s="5"/>
      <c r="T6" s="5"/>
    </row>
    <row r="7" spans="1:20" x14ac:dyDescent="0.3">
      <c r="A7" s="5"/>
      <c r="B7" s="5"/>
      <c r="C7" s="5"/>
      <c r="D7" s="5"/>
      <c r="E7" s="5"/>
      <c r="F7" s="5"/>
      <c r="G7" s="5"/>
      <c r="H7" s="5"/>
      <c r="I7" s="5"/>
      <c r="J7" s="5"/>
      <c r="K7" s="5"/>
      <c r="L7" s="5"/>
      <c r="M7" s="5"/>
      <c r="N7" s="5"/>
      <c r="O7" s="5"/>
      <c r="P7" s="5"/>
      <c r="Q7" s="5"/>
      <c r="R7" s="5"/>
      <c r="S7" s="5"/>
      <c r="T7" s="5"/>
    </row>
    <row r="8" spans="1:20" x14ac:dyDescent="0.3">
      <c r="A8" s="5"/>
      <c r="B8" s="5"/>
      <c r="C8" s="5"/>
      <c r="D8" s="5"/>
      <c r="E8" s="5"/>
      <c r="F8" s="5"/>
      <c r="G8" s="5"/>
      <c r="H8" s="5"/>
      <c r="I8" s="5"/>
      <c r="J8" s="5"/>
      <c r="K8" s="5"/>
      <c r="L8" s="5"/>
      <c r="M8" s="5"/>
      <c r="N8" s="5"/>
      <c r="O8" s="5"/>
      <c r="P8" s="5"/>
      <c r="Q8" s="5"/>
      <c r="R8" s="5"/>
      <c r="S8" s="5"/>
      <c r="T8" s="5"/>
    </row>
    <row r="9" spans="1:20" x14ac:dyDescent="0.3">
      <c r="A9" s="5"/>
      <c r="B9" s="5"/>
      <c r="C9" s="5"/>
      <c r="D9" s="5"/>
      <c r="E9" s="5"/>
      <c r="F9" s="5"/>
      <c r="G9" s="5"/>
      <c r="H9" s="5"/>
      <c r="I9" s="5"/>
      <c r="J9" s="5"/>
      <c r="K9" s="5"/>
      <c r="L9" s="5"/>
      <c r="M9" s="5"/>
      <c r="N9" s="5"/>
      <c r="O9" s="5"/>
      <c r="P9" s="5"/>
      <c r="Q9" s="5"/>
      <c r="R9" s="5"/>
      <c r="S9" s="5"/>
      <c r="T9" s="5"/>
    </row>
    <row r="10" spans="1:20" x14ac:dyDescent="0.3">
      <c r="A10" s="5"/>
      <c r="B10" s="5"/>
      <c r="C10" s="5"/>
      <c r="D10" s="5"/>
      <c r="E10" s="5"/>
      <c r="F10" s="5"/>
      <c r="G10" s="5"/>
      <c r="H10" s="5"/>
      <c r="I10" s="5"/>
      <c r="J10" s="5"/>
      <c r="K10" s="5"/>
      <c r="L10" s="5"/>
      <c r="M10" s="5"/>
      <c r="N10" s="5"/>
      <c r="O10" s="5"/>
      <c r="P10" s="5"/>
      <c r="Q10" s="5"/>
      <c r="R10" s="5"/>
      <c r="S10" s="5"/>
      <c r="T10" s="5"/>
    </row>
    <row r="11" spans="1:20" x14ac:dyDescent="0.3">
      <c r="A11" s="5"/>
      <c r="B11" s="5"/>
      <c r="C11" s="5"/>
      <c r="D11" s="5"/>
      <c r="E11" s="5"/>
      <c r="F11" s="5"/>
      <c r="G11" s="5"/>
      <c r="H11" s="5"/>
      <c r="I11" s="5"/>
      <c r="J11" s="5"/>
      <c r="K11" s="5"/>
      <c r="L11" s="5"/>
      <c r="M11" s="5"/>
      <c r="N11" s="5"/>
      <c r="O11" s="5"/>
      <c r="P11" s="5"/>
      <c r="Q11" s="5"/>
      <c r="R11" s="5"/>
      <c r="S11" s="5"/>
      <c r="T11" s="5"/>
    </row>
    <row r="12" spans="1:20" x14ac:dyDescent="0.3">
      <c r="A12" s="5"/>
      <c r="B12" s="5"/>
      <c r="C12" s="5"/>
      <c r="D12" s="5"/>
      <c r="E12" s="5"/>
      <c r="F12" s="5"/>
      <c r="G12" s="5"/>
      <c r="H12" s="5"/>
      <c r="I12" s="5"/>
      <c r="J12" s="5"/>
      <c r="K12" s="5"/>
      <c r="L12" s="5"/>
      <c r="M12" s="5"/>
      <c r="N12" s="5"/>
      <c r="O12" s="5"/>
      <c r="P12" s="5"/>
      <c r="Q12" s="5"/>
      <c r="R12" s="5"/>
      <c r="S12" s="5"/>
      <c r="T12" s="5"/>
    </row>
    <row r="13" spans="1:20" x14ac:dyDescent="0.3">
      <c r="A13" s="5"/>
      <c r="B13" s="5"/>
      <c r="C13" s="5"/>
      <c r="D13" s="5"/>
      <c r="E13" s="5"/>
      <c r="F13" s="5"/>
      <c r="G13" s="5"/>
      <c r="H13" s="5"/>
      <c r="I13" s="5"/>
      <c r="J13" s="5"/>
      <c r="K13" s="5"/>
      <c r="L13" s="5"/>
      <c r="M13" s="5"/>
      <c r="N13" s="5"/>
      <c r="O13" s="5"/>
      <c r="P13" s="5"/>
      <c r="Q13" s="5"/>
      <c r="R13" s="5"/>
      <c r="S13" s="5"/>
      <c r="T13" s="5"/>
    </row>
    <row r="14" spans="1:20" x14ac:dyDescent="0.3">
      <c r="A14" s="5"/>
      <c r="B14" s="5"/>
      <c r="C14" s="5"/>
      <c r="D14" s="5"/>
      <c r="E14" s="5"/>
      <c r="F14" s="5"/>
      <c r="G14" s="5"/>
      <c r="H14" s="5"/>
      <c r="I14" s="5"/>
      <c r="J14" s="5"/>
      <c r="K14" s="5"/>
      <c r="L14" s="5"/>
      <c r="M14" s="5"/>
      <c r="N14" s="5"/>
      <c r="O14" s="5"/>
      <c r="P14" s="5"/>
      <c r="Q14" s="5"/>
      <c r="R14" s="5"/>
      <c r="S14" s="5"/>
      <c r="T14" s="5"/>
    </row>
    <row r="15" spans="1:20" x14ac:dyDescent="0.3">
      <c r="A15" s="5"/>
      <c r="B15" s="5"/>
      <c r="C15" s="5"/>
      <c r="D15" s="5"/>
      <c r="E15" s="5"/>
      <c r="F15" s="5"/>
      <c r="G15" s="5"/>
      <c r="H15" s="5"/>
      <c r="I15" s="5"/>
      <c r="J15" s="5"/>
      <c r="K15" s="5"/>
      <c r="L15" s="5"/>
      <c r="M15" s="5"/>
      <c r="N15" s="5"/>
      <c r="O15" s="5"/>
      <c r="P15" s="5"/>
      <c r="Q15" s="5"/>
      <c r="R15" s="5"/>
      <c r="S15" s="5"/>
      <c r="T15" s="5"/>
    </row>
    <row r="16" spans="1:20" x14ac:dyDescent="0.3">
      <c r="A16" s="5"/>
      <c r="B16" s="5"/>
      <c r="C16" s="5"/>
      <c r="D16" s="5"/>
      <c r="E16" s="5"/>
      <c r="F16" s="5"/>
      <c r="G16" s="5"/>
      <c r="H16" s="5"/>
      <c r="I16" s="5"/>
      <c r="J16" s="5"/>
      <c r="K16" s="5"/>
      <c r="L16" s="5"/>
      <c r="M16" s="5"/>
      <c r="N16" s="5"/>
      <c r="O16" s="5"/>
      <c r="P16" s="5"/>
      <c r="Q16" s="5"/>
      <c r="R16" s="5"/>
      <c r="S16" s="5"/>
      <c r="T16" s="5"/>
    </row>
    <row r="17" spans="1:20" x14ac:dyDescent="0.3">
      <c r="A17" s="5"/>
      <c r="B17" s="5"/>
      <c r="C17" s="5"/>
      <c r="D17" s="5"/>
      <c r="E17" s="5"/>
      <c r="F17" s="5"/>
      <c r="G17" s="5"/>
      <c r="H17" s="5"/>
      <c r="I17" s="5"/>
      <c r="J17" s="5"/>
      <c r="K17" s="5"/>
      <c r="L17" s="5"/>
      <c r="M17" s="5"/>
      <c r="N17" s="5"/>
      <c r="O17" s="5"/>
      <c r="P17" s="5"/>
      <c r="Q17" s="5"/>
      <c r="R17" s="5"/>
      <c r="S17" s="5"/>
      <c r="T17" s="5"/>
    </row>
    <row r="18" spans="1:20" x14ac:dyDescent="0.3">
      <c r="A18" s="5"/>
      <c r="B18" s="5"/>
      <c r="C18" s="5"/>
      <c r="D18" s="5"/>
      <c r="E18" s="5"/>
      <c r="F18" s="5"/>
      <c r="G18" s="5"/>
      <c r="H18" s="5"/>
      <c r="I18" s="5"/>
      <c r="J18" s="5"/>
      <c r="K18" s="5"/>
      <c r="L18" s="5"/>
      <c r="M18" s="5"/>
      <c r="N18" s="5"/>
      <c r="O18" s="5"/>
      <c r="P18" s="5"/>
      <c r="Q18" s="5"/>
      <c r="R18" s="5"/>
      <c r="S18" s="5"/>
      <c r="T18" s="5"/>
    </row>
    <row r="19" spans="1:20" x14ac:dyDescent="0.3">
      <c r="A19" s="5"/>
      <c r="B19" s="5"/>
      <c r="C19" s="5"/>
      <c r="D19" s="5"/>
      <c r="E19" s="5"/>
      <c r="F19" s="5"/>
      <c r="G19" s="5"/>
      <c r="H19" s="5"/>
      <c r="I19" s="5"/>
      <c r="J19" s="5"/>
      <c r="K19" s="5"/>
      <c r="L19" s="5"/>
      <c r="M19" s="5"/>
      <c r="N19" s="5"/>
      <c r="O19" s="5"/>
      <c r="P19" s="5"/>
      <c r="Q19" s="5"/>
      <c r="R19" s="5"/>
      <c r="S19" s="5"/>
      <c r="T19" s="5"/>
    </row>
    <row r="20" spans="1:20" x14ac:dyDescent="0.3">
      <c r="A20" s="5"/>
      <c r="B20" s="5"/>
      <c r="C20" s="5"/>
      <c r="D20" s="5"/>
      <c r="E20" s="5"/>
      <c r="F20" s="5"/>
      <c r="G20" s="5"/>
      <c r="H20" s="5"/>
      <c r="I20" s="5"/>
      <c r="J20" s="5"/>
      <c r="K20" s="5"/>
      <c r="L20" s="5"/>
      <c r="M20" s="5"/>
      <c r="N20" s="5"/>
      <c r="O20" s="5"/>
      <c r="P20" s="5"/>
      <c r="Q20" s="5"/>
      <c r="R20" s="5"/>
      <c r="S20" s="5"/>
      <c r="T20" s="5"/>
    </row>
    <row r="21" spans="1:20" ht="15.6" x14ac:dyDescent="0.3">
      <c r="A21" s="14"/>
      <c r="B21" s="14"/>
      <c r="C21" s="14"/>
      <c r="D21" s="14"/>
      <c r="E21" s="14"/>
      <c r="F21" s="14"/>
      <c r="G21" s="14"/>
      <c r="H21" s="14"/>
      <c r="I21" s="14"/>
      <c r="J21" s="14"/>
      <c r="K21" s="14"/>
      <c r="L21" s="14"/>
      <c r="M21" s="14"/>
      <c r="N21" s="14"/>
      <c r="O21" s="14"/>
      <c r="P21" s="14"/>
      <c r="Q21" s="5"/>
      <c r="R21" s="5"/>
      <c r="S21" s="5"/>
      <c r="T21" s="5"/>
    </row>
    <row r="22" spans="1:20" ht="5.4" customHeight="1" x14ac:dyDescent="0.3">
      <c r="A22" s="5"/>
      <c r="B22" s="5"/>
      <c r="C22" s="5"/>
      <c r="D22" s="5"/>
      <c r="E22" s="5"/>
      <c r="F22" s="5"/>
      <c r="G22" s="5"/>
      <c r="H22" s="5"/>
      <c r="I22" s="5"/>
      <c r="J22" s="5"/>
      <c r="K22" s="5"/>
      <c r="L22" s="5"/>
      <c r="M22" s="5"/>
      <c r="N22" s="5"/>
      <c r="O22" s="5"/>
      <c r="P22" s="5"/>
      <c r="Q22" s="5"/>
      <c r="R22" s="5"/>
      <c r="S22" s="5"/>
      <c r="T22" s="5"/>
    </row>
    <row r="23" spans="1:20" x14ac:dyDescent="0.3">
      <c r="A23" s="13" t="s">
        <v>9</v>
      </c>
      <c r="B23" s="13"/>
      <c r="C23" s="13"/>
      <c r="D23" s="13"/>
      <c r="E23" s="13"/>
      <c r="F23" s="13"/>
      <c r="G23" s="13"/>
      <c r="H23" s="13"/>
      <c r="I23" s="13"/>
      <c r="J23" s="13"/>
      <c r="K23" s="13"/>
      <c r="L23" s="13"/>
      <c r="M23" s="13"/>
      <c r="N23" s="13"/>
      <c r="O23" s="13"/>
      <c r="P23" s="13"/>
      <c r="Q23" s="13"/>
      <c r="R23" s="5"/>
      <c r="S23" s="5"/>
      <c r="T23" s="5"/>
    </row>
    <row r="24" spans="1:20" x14ac:dyDescent="0.3">
      <c r="A24" s="5"/>
      <c r="B24" s="5"/>
      <c r="C24" s="5"/>
      <c r="D24" s="5"/>
      <c r="E24" s="5"/>
      <c r="F24" s="5"/>
      <c r="G24" s="5"/>
      <c r="H24" s="5"/>
      <c r="I24" s="5"/>
      <c r="J24" s="5"/>
      <c r="K24" s="5"/>
      <c r="L24" s="5"/>
      <c r="M24" s="5"/>
      <c r="N24" s="5"/>
      <c r="O24" s="5"/>
      <c r="P24" s="5"/>
      <c r="Q24" s="5"/>
      <c r="R24" s="5"/>
      <c r="S24" s="5"/>
      <c r="T24" s="5"/>
    </row>
    <row r="25" spans="1:20" x14ac:dyDescent="0.3">
      <c r="A25" s="5"/>
      <c r="B25" s="5"/>
      <c r="C25" s="5"/>
      <c r="D25" s="5"/>
      <c r="E25" s="5"/>
      <c r="F25" s="5"/>
      <c r="G25" s="5"/>
      <c r="H25" s="5"/>
      <c r="I25" s="5"/>
      <c r="J25" s="5"/>
      <c r="K25" s="5"/>
      <c r="L25" s="5"/>
      <c r="M25" s="5"/>
      <c r="N25" s="5"/>
      <c r="O25" s="5"/>
      <c r="P25" s="5"/>
      <c r="Q25" s="5"/>
      <c r="R25" s="5"/>
      <c r="S25" s="5"/>
      <c r="T25" s="5"/>
    </row>
    <row r="26" spans="1:20" x14ac:dyDescent="0.3">
      <c r="A26" s="5"/>
      <c r="B26" s="5"/>
      <c r="C26" s="5"/>
      <c r="D26" s="5"/>
      <c r="E26" s="5"/>
      <c r="F26" s="5"/>
      <c r="G26" s="5"/>
      <c r="H26" s="5"/>
      <c r="I26" s="5"/>
      <c r="J26" s="5"/>
      <c r="K26" s="5"/>
      <c r="L26" s="5"/>
      <c r="M26" s="5"/>
      <c r="N26" s="5"/>
      <c r="O26" s="5"/>
      <c r="P26" s="5"/>
      <c r="Q26" s="5"/>
      <c r="R26" s="5"/>
      <c r="S26" s="5"/>
      <c r="T26" s="5"/>
    </row>
    <row r="27" spans="1:20" x14ac:dyDescent="0.3">
      <c r="A27" s="5"/>
      <c r="B27" s="5"/>
      <c r="C27" s="5"/>
      <c r="D27" s="5"/>
      <c r="E27" s="5"/>
      <c r="F27" s="5"/>
      <c r="G27" s="5"/>
      <c r="H27" s="5"/>
      <c r="I27" s="5"/>
      <c r="J27" s="5"/>
      <c r="K27" s="5"/>
      <c r="L27" s="5"/>
      <c r="M27" s="5"/>
      <c r="N27" s="5"/>
      <c r="O27" s="5"/>
      <c r="P27" s="5"/>
      <c r="Q27" s="5"/>
      <c r="R27" s="5"/>
      <c r="S27" s="5"/>
      <c r="T27" s="5"/>
    </row>
    <row r="28" spans="1:20" x14ac:dyDescent="0.3">
      <c r="A28" s="5"/>
      <c r="B28" s="5"/>
      <c r="C28" s="5"/>
      <c r="D28" s="5"/>
      <c r="E28" s="5"/>
      <c r="F28" s="5"/>
      <c r="G28" s="5"/>
      <c r="H28" s="5"/>
      <c r="I28" s="5"/>
      <c r="J28" s="5"/>
      <c r="K28" s="5"/>
      <c r="L28" s="5"/>
      <c r="M28" s="5"/>
      <c r="N28" s="5"/>
      <c r="O28" s="5"/>
      <c r="P28" s="5"/>
      <c r="Q28" s="5"/>
      <c r="R28" s="5"/>
      <c r="S28" s="5"/>
      <c r="T28" s="5"/>
    </row>
    <row r="29" spans="1:20" x14ac:dyDescent="0.3">
      <c r="A29" s="5"/>
      <c r="B29" s="5"/>
      <c r="C29" s="5"/>
      <c r="D29" s="5"/>
      <c r="E29" s="5"/>
      <c r="F29" s="5"/>
      <c r="G29" s="5"/>
      <c r="H29" s="5"/>
      <c r="I29" s="5"/>
      <c r="J29" s="5"/>
      <c r="K29" s="5"/>
      <c r="L29" s="5"/>
      <c r="M29" s="5"/>
      <c r="N29" s="5"/>
      <c r="O29" s="5"/>
      <c r="P29" s="5"/>
      <c r="Q29" s="5"/>
      <c r="R29" s="5"/>
      <c r="S29" s="5"/>
      <c r="T29" s="5"/>
    </row>
    <row r="30" spans="1:20" x14ac:dyDescent="0.3">
      <c r="A30" s="5"/>
      <c r="B30" s="5"/>
      <c r="C30" s="5"/>
      <c r="D30" s="5"/>
      <c r="E30" s="5"/>
      <c r="F30" s="5"/>
      <c r="G30" s="5"/>
      <c r="H30" s="5"/>
      <c r="I30" s="5"/>
      <c r="J30" s="5"/>
      <c r="K30" s="5"/>
      <c r="L30" s="5"/>
      <c r="M30" s="5"/>
      <c r="N30" s="5"/>
      <c r="O30" s="5"/>
      <c r="P30" s="5"/>
      <c r="Q30" s="5"/>
      <c r="R30" s="5"/>
      <c r="S30" s="5"/>
      <c r="T30" s="5"/>
    </row>
    <row r="31" spans="1:20" x14ac:dyDescent="0.3">
      <c r="A31" s="5"/>
      <c r="B31" s="5"/>
      <c r="C31" s="5"/>
      <c r="D31" s="5"/>
      <c r="E31" s="5"/>
      <c r="F31" s="5"/>
      <c r="G31" s="5"/>
      <c r="H31" s="5"/>
      <c r="I31" s="5"/>
      <c r="J31" s="5"/>
      <c r="K31" s="5"/>
      <c r="L31" s="5"/>
      <c r="M31" s="5"/>
      <c r="N31" s="5"/>
      <c r="O31" s="5"/>
      <c r="P31" s="5"/>
      <c r="Q31" s="5"/>
      <c r="R31" s="5"/>
      <c r="S31" s="5"/>
      <c r="T31" s="5"/>
    </row>
    <row r="32" spans="1:20" x14ac:dyDescent="0.3">
      <c r="A32" s="5"/>
      <c r="B32" s="5"/>
      <c r="C32" s="5"/>
      <c r="D32" s="5"/>
      <c r="E32" s="5"/>
      <c r="F32" s="5"/>
      <c r="G32" s="5"/>
      <c r="H32" s="5"/>
      <c r="I32" s="5"/>
      <c r="J32" s="5"/>
      <c r="K32" s="5"/>
      <c r="L32" s="5"/>
      <c r="M32" s="5"/>
      <c r="N32" s="5"/>
      <c r="O32" s="5"/>
      <c r="P32" s="5"/>
      <c r="Q32" s="5"/>
      <c r="R32" s="5"/>
      <c r="S32" s="5"/>
      <c r="T32" s="5"/>
    </row>
  </sheetData>
  <mergeCells count="2">
    <mergeCell ref="A21:P21"/>
    <mergeCell ref="A23:Q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9340-8EFD-484E-BDAB-F5E1AED5D4A6}">
  <dimension ref="A1:S27"/>
  <sheetViews>
    <sheetView zoomScale="140" zoomScaleNormal="140" workbookViewId="0">
      <selection activeCell="C19" sqref="C19"/>
    </sheetView>
  </sheetViews>
  <sheetFormatPr defaultRowHeight="14.4" x14ac:dyDescent="0.3"/>
  <sheetData>
    <row r="1" spans="1:19" x14ac:dyDescent="0.3">
      <c r="A1" s="5"/>
      <c r="B1" s="5"/>
      <c r="C1" s="5"/>
      <c r="D1" s="5"/>
      <c r="E1" s="5"/>
      <c r="F1" s="5"/>
      <c r="G1" s="5"/>
      <c r="H1" s="5"/>
      <c r="I1" s="5"/>
      <c r="J1" s="5"/>
      <c r="K1" s="5"/>
      <c r="L1" s="5"/>
      <c r="M1" s="5"/>
      <c r="N1" s="5"/>
      <c r="O1" s="5"/>
      <c r="P1" s="5"/>
      <c r="Q1" s="5"/>
      <c r="R1" s="5"/>
      <c r="S1" s="5"/>
    </row>
    <row r="2" spans="1:19"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hidden="1" x14ac:dyDescent="0.3">
      <c r="A16" s="5"/>
      <c r="B16" s="5"/>
      <c r="C16" s="5"/>
      <c r="D16" s="5"/>
      <c r="E16" s="5"/>
      <c r="F16" s="5"/>
      <c r="G16" s="5"/>
      <c r="H16" s="5"/>
      <c r="I16" s="5"/>
      <c r="J16" s="5"/>
      <c r="K16" s="5"/>
      <c r="L16" s="5"/>
      <c r="M16" s="5"/>
      <c r="N16" s="5"/>
      <c r="O16" s="5"/>
      <c r="P16" s="5"/>
      <c r="Q16" s="5"/>
      <c r="R16" s="5"/>
      <c r="S16" s="5"/>
    </row>
    <row r="17" spans="1:19" x14ac:dyDescent="0.3">
      <c r="A17" s="15" t="s">
        <v>40</v>
      </c>
      <c r="B17" s="15"/>
      <c r="C17" s="15"/>
      <c r="D17" s="15"/>
      <c r="E17" s="15"/>
      <c r="F17" s="15"/>
      <c r="G17" s="15"/>
      <c r="H17" s="15"/>
      <c r="I17" s="15"/>
      <c r="J17" s="15"/>
      <c r="K17" s="15"/>
      <c r="L17" s="1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row r="23" spans="1:19" x14ac:dyDescent="0.3">
      <c r="A23" s="5"/>
      <c r="B23" s="5"/>
      <c r="C23" s="5"/>
      <c r="D23" s="5"/>
      <c r="E23" s="5"/>
      <c r="F23" s="5"/>
      <c r="G23" s="5"/>
      <c r="H23" s="5"/>
      <c r="I23" s="5"/>
      <c r="J23" s="5"/>
      <c r="K23" s="5"/>
      <c r="L23" s="5"/>
      <c r="M23" s="5"/>
      <c r="N23" s="5"/>
      <c r="O23" s="5"/>
      <c r="P23" s="5"/>
      <c r="Q23" s="5"/>
      <c r="R23" s="5"/>
      <c r="S23" s="5"/>
    </row>
    <row r="24" spans="1:19" x14ac:dyDescent="0.3">
      <c r="A24" s="5"/>
      <c r="B24" s="5"/>
      <c r="C24" s="5"/>
      <c r="D24" s="5"/>
      <c r="E24" s="5"/>
      <c r="F24" s="5"/>
      <c r="G24" s="5"/>
      <c r="H24" s="5"/>
      <c r="I24" s="5"/>
      <c r="J24" s="5"/>
      <c r="K24" s="5"/>
      <c r="L24" s="5"/>
      <c r="M24" s="5"/>
      <c r="N24" s="5"/>
      <c r="O24" s="5"/>
      <c r="P24" s="5"/>
      <c r="Q24" s="5"/>
      <c r="R24" s="5"/>
      <c r="S24" s="5"/>
    </row>
    <row r="25" spans="1:19" x14ac:dyDescent="0.3">
      <c r="A25" s="5"/>
      <c r="B25" s="5"/>
      <c r="C25" s="5"/>
      <c r="D25" s="5"/>
      <c r="E25" s="5"/>
      <c r="F25" s="5"/>
      <c r="G25" s="5"/>
      <c r="H25" s="5"/>
      <c r="I25" s="5"/>
      <c r="J25" s="5"/>
      <c r="K25" s="5"/>
      <c r="L25" s="5"/>
      <c r="M25" s="5"/>
      <c r="N25" s="5"/>
      <c r="O25" s="5"/>
      <c r="P25" s="5"/>
      <c r="Q25" s="5"/>
      <c r="R25" s="5"/>
      <c r="S25" s="5"/>
    </row>
    <row r="26" spans="1:19" x14ac:dyDescent="0.3">
      <c r="A26" s="5"/>
      <c r="B26" s="5"/>
      <c r="C26" s="5"/>
      <c r="D26" s="5"/>
      <c r="E26" s="5"/>
      <c r="F26" s="5"/>
      <c r="G26" s="5"/>
      <c r="H26" s="5"/>
      <c r="I26" s="5"/>
      <c r="J26" s="5"/>
      <c r="K26" s="5"/>
      <c r="L26" s="5"/>
      <c r="M26" s="5"/>
      <c r="N26" s="5"/>
      <c r="O26" s="5"/>
      <c r="P26" s="5"/>
      <c r="Q26" s="5"/>
      <c r="R26" s="5"/>
      <c r="S26" s="5"/>
    </row>
    <row r="27" spans="1:19" x14ac:dyDescent="0.3">
      <c r="A27" s="5"/>
      <c r="B27" s="5"/>
      <c r="C27" s="5"/>
      <c r="D27" s="5"/>
      <c r="E27" s="5"/>
      <c r="F27" s="5"/>
      <c r="G27" s="5"/>
      <c r="H27" s="5"/>
      <c r="I27" s="5"/>
      <c r="J27" s="5"/>
      <c r="K27" s="5"/>
      <c r="L27" s="5"/>
      <c r="M27" s="5"/>
      <c r="N27" s="5"/>
      <c r="O27" s="5"/>
      <c r="P27" s="5"/>
      <c r="Q27" s="5"/>
      <c r="R27" s="5"/>
      <c r="S27" s="5"/>
    </row>
  </sheetData>
  <mergeCells count="1">
    <mergeCell ref="A17:L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D9F6D3E-8B8C-4967-907E-EADAABC95A47}">
  <ds:schemaRefs/>
</ds:datastoreItem>
</file>

<file path=customXml/itemProps2.xml><?xml version="1.0" encoding="utf-8"?>
<ds:datastoreItem xmlns:ds="http://schemas.openxmlformats.org/officeDocument/2006/customXml" ds:itemID="{4AFD9385-2082-4CD5-8703-85BEE75DED42}">
  <ds:schemaRefs/>
</ds:datastoreItem>
</file>

<file path=customXml/itemProps3.xml><?xml version="1.0" encoding="utf-8"?>
<ds:datastoreItem xmlns:ds="http://schemas.openxmlformats.org/officeDocument/2006/customXml" ds:itemID="{AE3B5665-F25C-484E-B699-0D4C97BC2FB9}">
  <ds:schemaRefs/>
</ds:datastoreItem>
</file>

<file path=customXml/itemProps4.xml><?xml version="1.0" encoding="utf-8"?>
<ds:datastoreItem xmlns:ds="http://schemas.openxmlformats.org/officeDocument/2006/customXml" ds:itemID="{17AE11DE-6A3C-4825-81BA-A55FE837F7C7}">
  <ds:schemaRefs/>
</ds:datastoreItem>
</file>

<file path=customXml/itemProps5.xml><?xml version="1.0" encoding="utf-8"?>
<ds:datastoreItem xmlns:ds="http://schemas.openxmlformats.org/officeDocument/2006/customXml" ds:itemID="{874F3922-FE1E-46D3-A65C-DC2AE9A1CBE2}">
  <ds:schemaRefs/>
</ds:datastoreItem>
</file>

<file path=customXml/itemProps6.xml><?xml version="1.0" encoding="utf-8"?>
<ds:datastoreItem xmlns:ds="http://schemas.openxmlformats.org/officeDocument/2006/customXml" ds:itemID="{CF09F39C-3C66-4072-9679-547151B802BC}">
  <ds:schemaRefs/>
</ds:datastoreItem>
</file>

<file path=customXml/itemProps7.xml><?xml version="1.0" encoding="utf-8"?>
<ds:datastoreItem xmlns:ds="http://schemas.openxmlformats.org/officeDocument/2006/customXml" ds:itemID="{74438788-5941-4610-BF16-901CD972D461}">
  <ds:schemaRefs/>
</ds:datastoreItem>
</file>

<file path=customXml/itemProps8.xml><?xml version="1.0" encoding="utf-8"?>
<ds:datastoreItem xmlns:ds="http://schemas.openxmlformats.org/officeDocument/2006/customXml" ds:itemID="{0DAC2458-2986-4705-A8AA-713A3164B4C0}">
  <ds:schemaRefs/>
</ds:datastoreItem>
</file>

<file path=customXml/itemProps9.xml><?xml version="1.0" encoding="utf-8"?>
<ds:datastoreItem xmlns:ds="http://schemas.openxmlformats.org/officeDocument/2006/customXml" ds:itemID="{FED9592C-E7D1-478C-88B3-3F2DF9B7A59B}">
  <ds:schemaRefs/>
</ds:datastoreItem>
</file>

<file path=customXml/itemProps10.xml><?xml version="1.0" encoding="utf-8"?>
<ds:datastoreItem xmlns:ds="http://schemas.openxmlformats.org/officeDocument/2006/customXml" ds:itemID="{953AAD21-8318-4021-AE58-0C31825674C3}">
  <ds:schemaRefs/>
</ds:datastoreItem>
</file>

<file path=customXml/itemProps11.xml><?xml version="1.0" encoding="utf-8"?>
<ds:datastoreItem xmlns:ds="http://schemas.openxmlformats.org/officeDocument/2006/customXml" ds:itemID="{185D58DA-0260-4C5F-B9D4-011CF86783BA}">
  <ds:schemaRefs/>
</ds:datastoreItem>
</file>

<file path=customXml/itemProps12.xml><?xml version="1.0" encoding="utf-8"?>
<ds:datastoreItem xmlns:ds="http://schemas.openxmlformats.org/officeDocument/2006/customXml" ds:itemID="{3C44B838-AEFD-4912-B8C9-7435DE6115A7}">
  <ds:schemaRefs/>
</ds:datastoreItem>
</file>

<file path=customXml/itemProps13.xml><?xml version="1.0" encoding="utf-8"?>
<ds:datastoreItem xmlns:ds="http://schemas.openxmlformats.org/officeDocument/2006/customXml" ds:itemID="{E9E36B24-2B77-4A95-ADCA-8DBE83E1CDAC}">
  <ds:schemaRefs/>
</ds:datastoreItem>
</file>

<file path=customXml/itemProps14.xml><?xml version="1.0" encoding="utf-8"?>
<ds:datastoreItem xmlns:ds="http://schemas.openxmlformats.org/officeDocument/2006/customXml" ds:itemID="{69E446B0-E2C1-43AB-81A7-E27C41E4F2CC}">
  <ds:schemaRefs/>
</ds:datastoreItem>
</file>

<file path=customXml/itemProps15.xml><?xml version="1.0" encoding="utf-8"?>
<ds:datastoreItem xmlns:ds="http://schemas.openxmlformats.org/officeDocument/2006/customXml" ds:itemID="{1B37D3A6-6197-4C8F-B0E6-B3975F721644}">
  <ds:schemaRefs>
    <ds:schemaRef ds:uri="http://schemas.microsoft.com/DataMashup"/>
  </ds:schemaRefs>
</ds:datastoreItem>
</file>

<file path=customXml/itemProps16.xml><?xml version="1.0" encoding="utf-8"?>
<ds:datastoreItem xmlns:ds="http://schemas.openxmlformats.org/officeDocument/2006/customXml" ds:itemID="{C799C2F1-E933-4A02-8D6A-C54825C77407}">
  <ds:schemaRefs/>
</ds:datastoreItem>
</file>

<file path=customXml/itemProps17.xml><?xml version="1.0" encoding="utf-8"?>
<ds:datastoreItem xmlns:ds="http://schemas.openxmlformats.org/officeDocument/2006/customXml" ds:itemID="{05E1D64C-C163-4574-AA9C-D572FF84542D}">
  <ds:schemaRefs/>
</ds:datastoreItem>
</file>

<file path=customXml/itemProps18.xml><?xml version="1.0" encoding="utf-8"?>
<ds:datastoreItem xmlns:ds="http://schemas.openxmlformats.org/officeDocument/2006/customXml" ds:itemID="{5DE6B6D3-AE46-40FB-A240-25C44EE202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Tufail Siddiqui</dc:creator>
  <cp:lastModifiedBy>Mohd Tufail Siddiqui</cp:lastModifiedBy>
  <dcterms:created xsi:type="dcterms:W3CDTF">2026-01-16T18:48:59Z</dcterms:created>
  <dcterms:modified xsi:type="dcterms:W3CDTF">2026-01-19T17:27:35Z</dcterms:modified>
</cp:coreProperties>
</file>